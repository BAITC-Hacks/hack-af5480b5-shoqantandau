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\од\Кейсы для Хакатона\IEK\"/>
    </mc:Choice>
  </mc:AlternateContent>
  <xr:revisionPtr revIDLastSave="0" documentId="13_ncr:1_{4F62F845-4850-408E-A702-BC80B9F8AD77}" xr6:coauthVersionLast="47" xr6:coauthVersionMax="47" xr10:uidLastSave="{00000000-0000-0000-0000-000000000000}"/>
  <bookViews>
    <workbookView xWindow="-120" yWindow="-120" windowWidth="29040" windowHeight="15720" xr2:uid="{30FACDFE-28CD-47A2-A9FA-9D6C68D2050C}"/>
  </bookViews>
  <sheets>
    <sheet name="Сезонност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" i="1" l="1"/>
  <c r="B29" i="1"/>
  <c r="B30" i="1"/>
  <c r="B31" i="1"/>
  <c r="B32" i="1"/>
  <c r="B33" i="1"/>
  <c r="B34" i="1"/>
  <c r="B35" i="1"/>
  <c r="B36" i="1"/>
  <c r="B37" i="1"/>
  <c r="B38" i="1"/>
  <c r="B39" i="1"/>
  <c r="I22" i="1" a="1"/>
  <c r="I22" i="1" s="1"/>
  <c r="F22" i="1" a="1"/>
  <c r="F22" i="1" s="1"/>
  <c r="C22" i="1" a="1"/>
  <c r="C22" i="1" s="1"/>
  <c r="B22" i="1" a="1"/>
  <c r="B22" i="1" s="1"/>
  <c r="I21" i="1" a="1"/>
  <c r="I21" i="1" s="1"/>
  <c r="F21" i="1" a="1"/>
  <c r="F21" i="1" s="1"/>
  <c r="C21" i="1" a="1"/>
  <c r="C21" i="1" s="1"/>
  <c r="B21" i="1" a="1"/>
  <c r="B21" i="1" s="1"/>
  <c r="I20" i="1" a="1"/>
  <c r="I20" i="1" s="1"/>
  <c r="F20" i="1" a="1"/>
  <c r="F20" i="1" s="1"/>
  <c r="C20" i="1" a="1"/>
  <c r="C20" i="1" s="1"/>
  <c r="B20" i="1" a="1"/>
  <c r="B20" i="1" s="1"/>
  <c r="I19" i="1" a="1"/>
  <c r="I19" i="1" s="1"/>
  <c r="F19" i="1" a="1"/>
  <c r="F19" i="1" s="1"/>
  <c r="C19" i="1" a="1"/>
  <c r="C19" i="1" s="1"/>
  <c r="B19" i="1" a="1"/>
  <c r="B19" i="1" s="1"/>
  <c r="I18" i="1" a="1"/>
  <c r="I18" i="1" s="1"/>
  <c r="F18" i="1" a="1"/>
  <c r="F18" i="1" s="1"/>
  <c r="C18" i="1" a="1"/>
  <c r="C18" i="1" s="1"/>
  <c r="B18" i="1" a="1"/>
  <c r="B18" i="1" s="1"/>
  <c r="I17" i="1" a="1"/>
  <c r="I17" i="1" s="1"/>
  <c r="F17" i="1" a="1"/>
  <c r="F17" i="1" s="1"/>
  <c r="C17" i="1" a="1"/>
  <c r="C17" i="1" s="1"/>
  <c r="B17" i="1" a="1"/>
  <c r="B17" i="1" s="1"/>
  <c r="I16" i="1" a="1"/>
  <c r="I16" i="1" s="1"/>
  <c r="F16" i="1" a="1"/>
  <c r="F16" i="1" s="1"/>
  <c r="C16" i="1" a="1"/>
  <c r="C16" i="1" s="1"/>
  <c r="B16" i="1" a="1"/>
  <c r="B16" i="1" s="1"/>
  <c r="I15" i="1" a="1"/>
  <c r="I15" i="1" s="1"/>
  <c r="F15" i="1" a="1"/>
  <c r="F15" i="1" s="1"/>
  <c r="C15" i="1" a="1"/>
  <c r="C15" i="1" s="1"/>
  <c r="B15" i="1" a="1"/>
  <c r="B15" i="1" s="1"/>
  <c r="I14" i="1" a="1"/>
  <c r="I14" i="1" s="1"/>
  <c r="F14" i="1" a="1"/>
  <c r="F14" i="1" s="1"/>
  <c r="C14" i="1" a="1"/>
  <c r="C14" i="1" s="1"/>
  <c r="B14" i="1" a="1"/>
  <c r="B14" i="1" s="1"/>
  <c r="N13" i="1"/>
  <c r="M13" i="1"/>
  <c r="I13" i="1" a="1"/>
  <c r="I13" i="1" s="1"/>
  <c r="F13" i="1" a="1"/>
  <c r="F13" i="1" s="1"/>
  <c r="C13" i="1" a="1"/>
  <c r="C13" i="1" s="1"/>
  <c r="B13" i="1" a="1"/>
  <c r="B13" i="1" s="1"/>
  <c r="N12" i="1"/>
  <c r="M12" i="1"/>
  <c r="I12" i="1" a="1"/>
  <c r="I12" i="1" s="1"/>
  <c r="F12" i="1" a="1"/>
  <c r="F12" i="1" s="1"/>
  <c r="C12" i="1" a="1"/>
  <c r="C12" i="1" s="1"/>
  <c r="B12" i="1" a="1"/>
  <c r="B12" i="1" s="1"/>
  <c r="N11" i="1"/>
  <c r="M11" i="1"/>
  <c r="I11" i="1" a="1"/>
  <c r="I11" i="1" s="1"/>
  <c r="F11" i="1" a="1"/>
  <c r="F11" i="1" s="1"/>
  <c r="C11" i="1" a="1"/>
  <c r="C11" i="1" s="1"/>
  <c r="B11" i="1"/>
  <c r="B11" i="1" a="1"/>
  <c r="N6" i="1"/>
  <c r="O13" i="1" s="1"/>
  <c r="N5" i="1"/>
  <c r="O12" i="1" s="1"/>
  <c r="N4" i="1"/>
  <c r="O11" i="1" s="1"/>
  <c r="E29" i="1" l="1"/>
  <c r="H14" i="1"/>
  <c r="H18" i="1"/>
  <c r="H17" i="1"/>
  <c r="K15" i="1"/>
  <c r="K19" i="1"/>
  <c r="K12" i="1"/>
  <c r="K20" i="1"/>
  <c r="K16" i="1"/>
  <c r="H21" i="1"/>
  <c r="H13" i="1"/>
  <c r="G13" i="1"/>
  <c r="C30" i="1" s="1"/>
  <c r="H22" i="1"/>
  <c r="G11" i="1"/>
  <c r="C28" i="1" s="1"/>
  <c r="H11" i="1"/>
  <c r="E16" i="1"/>
  <c r="J17" i="1"/>
  <c r="D34" i="1" s="1"/>
  <c r="K17" i="1"/>
  <c r="E20" i="1"/>
  <c r="J21" i="1"/>
  <c r="K21" i="1"/>
  <c r="E12" i="1"/>
  <c r="E13" i="1"/>
  <c r="D13" i="1"/>
  <c r="H16" i="1"/>
  <c r="G16" i="1"/>
  <c r="C33" i="1" s="1"/>
  <c r="H20" i="1"/>
  <c r="G20" i="1"/>
  <c r="G12" i="1"/>
  <c r="C29" i="1" s="1"/>
  <c r="F23" i="1"/>
  <c r="H12" i="1"/>
  <c r="E15" i="1"/>
  <c r="E19" i="1"/>
  <c r="J11" i="1"/>
  <c r="D28" i="1" s="1"/>
  <c r="E28" i="1" s="1"/>
  <c r="I23" i="1"/>
  <c r="K11" i="1"/>
  <c r="E14" i="1"/>
  <c r="D14" i="1"/>
  <c r="G15" i="1"/>
  <c r="C32" i="1" s="1"/>
  <c r="H15" i="1"/>
  <c r="E18" i="1"/>
  <c r="D18" i="1"/>
  <c r="G19" i="1"/>
  <c r="C36" i="1" s="1"/>
  <c r="H19" i="1"/>
  <c r="E22" i="1"/>
  <c r="D22" i="1"/>
  <c r="K13" i="1"/>
  <c r="J13" i="1"/>
  <c r="D30" i="1" s="1"/>
  <c r="E30" i="1" s="1"/>
  <c r="D17" i="1"/>
  <c r="E17" i="1"/>
  <c r="D21" i="1"/>
  <c r="E21" i="1"/>
  <c r="C23" i="1"/>
  <c r="D11" i="1"/>
  <c r="E11" i="1"/>
  <c r="K14" i="1"/>
  <c r="J14" i="1"/>
  <c r="D31" i="1" s="1"/>
  <c r="E31" i="1" s="1"/>
  <c r="K18" i="1"/>
  <c r="J18" i="1"/>
  <c r="D35" i="1" s="1"/>
  <c r="K22" i="1"/>
  <c r="J22" i="1"/>
  <c r="G14" i="1"/>
  <c r="C31" i="1" s="1"/>
  <c r="D16" i="1"/>
  <c r="J16" i="1"/>
  <c r="D33" i="1" s="1"/>
  <c r="E33" i="1" s="1"/>
  <c r="G18" i="1"/>
  <c r="C35" i="1" s="1"/>
  <c r="D20" i="1"/>
  <c r="J20" i="1"/>
  <c r="G22" i="1"/>
  <c r="D12" i="1"/>
  <c r="J12" i="1"/>
  <c r="D29" i="1" s="1"/>
  <c r="D15" i="1"/>
  <c r="J15" i="1"/>
  <c r="D32" i="1" s="1"/>
  <c r="E32" i="1" s="1"/>
  <c r="G17" i="1"/>
  <c r="C34" i="1" s="1"/>
  <c r="D19" i="1"/>
  <c r="J19" i="1"/>
  <c r="D36" i="1" s="1"/>
  <c r="E36" i="1" s="1"/>
  <c r="G21" i="1"/>
  <c r="D38" i="1" l="1"/>
  <c r="E38" i="1" s="1"/>
  <c r="C38" i="1"/>
  <c r="C39" i="1"/>
  <c r="D39" i="1"/>
  <c r="E39" i="1" s="1"/>
  <c r="D37" i="1"/>
  <c r="C37" i="1"/>
  <c r="E37" i="1" s="1"/>
  <c r="F37" i="1" s="1"/>
  <c r="G37" i="1" s="1"/>
  <c r="E34" i="1"/>
  <c r="F33" i="1" s="1"/>
  <c r="E35" i="1"/>
  <c r="G23" i="1"/>
  <c r="H23" i="1"/>
  <c r="K23" i="1"/>
  <c r="J23" i="1"/>
  <c r="E23" i="1"/>
  <c r="D23" i="1"/>
  <c r="F39" i="1" l="1"/>
  <c r="L16" i="1"/>
  <c r="G33" i="1"/>
  <c r="L22" i="1"/>
  <c r="G39" i="1"/>
  <c r="F30" i="1"/>
  <c r="F28" i="1"/>
  <c r="F29" i="1"/>
  <c r="F36" i="1"/>
  <c r="G36" i="1" s="1"/>
  <c r="F32" i="1"/>
  <c r="G32" i="1" s="1"/>
  <c r="F38" i="1"/>
  <c r="F35" i="1"/>
  <c r="F34" i="1"/>
  <c r="G34" i="1" s="1"/>
  <c r="F31" i="1"/>
  <c r="L20" i="1"/>
  <c r="L17" i="1"/>
  <c r="L19" i="1"/>
  <c r="L15" i="1"/>
  <c r="G29" i="1" l="1"/>
  <c r="L12" i="1"/>
  <c r="G28" i="1"/>
  <c r="L11" i="1"/>
  <c r="G31" i="1"/>
  <c r="L14" i="1"/>
  <c r="L13" i="1"/>
  <c r="G30" i="1"/>
  <c r="L18" i="1"/>
  <c r="G35" i="1"/>
  <c r="G38" i="1"/>
  <c r="L21" i="1"/>
  <c r="F40" i="1"/>
  <c r="L23" i="1" l="1"/>
  <c r="G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<sst xmlns="http://schemas.openxmlformats.org/spreadsheetml/2006/main" count="41" uniqueCount="36">
  <si>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</si>
  <si>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</si>
  <si>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</si>
  <si>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</si>
  <si>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</si>
  <si>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</si>
  <si>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</si>
  <si>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</si>
  <si>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</si>
  <si>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</si>
  <si>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</si>
  <si>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</si>
  <si>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</si>
  <si>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</t>
  </si>
  <si>
    <t>Сезонность по годам</t>
  </si>
  <si>
    <t>Месяц</t>
  </si>
  <si>
    <t>Продажи 2024</t>
  </si>
  <si>
    <t>Коэф. сезонности</t>
  </si>
  <si>
    <t>Доля в году</t>
  </si>
  <si>
    <t>Продажи 2025</t>
  </si>
  <si>
    <t>Коэф. сезонности 2025</t>
  </si>
  <si>
    <t>Доля в году 2025</t>
  </si>
  <si>
    <t>Продажи 2026</t>
  </si>
  <si>
    <t>Коэф. сезонности 2026</t>
  </si>
  <si>
    <t>Доля в году 2026</t>
  </si>
  <si>
    <t>Год</t>
  </si>
  <si>
    <t>Среднемес.</t>
  </si>
  <si>
    <t>Итого за год</t>
  </si>
  <si>
    <t>Итого</t>
  </si>
  <si>
    <t>СЕЗОННОСТЬ</t>
  </si>
  <si>
    <t>СРЕДНЯЯ СЕЗОННОСТЬ 2025–2026</t>
  </si>
  <si>
    <t>Коэф. 2025</t>
  </si>
  <si>
    <t>Коэф. 2026</t>
  </si>
  <si>
    <t>Средний коэф.</t>
  </si>
  <si>
    <t>Норм. коэф.</t>
  </si>
  <si>
    <t>коэф. 2026 — прогноз (среднее 2024–2025)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</si>
</sst>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"/>
  </numFmts>
  <fonts count="9" x14ac:knownFonts="1">
    <font>
      <sz val="8"/>
      <name val="Arial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8"/>
      <name val="Arial"/>
      <family val="2"/>
    </font>
    <font>
      <sz val="10"/>
      <name val="Arial"/>
    </font>
    <font>
      <sz val="8"/>
      <name val="Arial"/>
    </font>
    <font>
      <b/>
      <sz val="10"/>
      <color rgb="FFFF0000"/>
      <name val="Calibri"/>
      <family val="2"/>
      <charset val="204"/>
      <scheme val="minor"/>
    </font>
    <font>
      <i/>
      <sz val="10"/>
      <color rgb="FF0000FF"/>
      <name val="Calibri"/>
      <family val="2"/>
      <charset val="204"/>
      <scheme val="minor"/>
    </font>
    <font>
      <i/>
      <sz val="9"/>
      <color rgb="FF0000F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3" fillId="0" borderId="0"/>
    <xf numFmtId="43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" fontId="4" fillId="2" borderId="1" xfId="1" applyNumberFormat="1" applyFont="1" applyFill="1" applyBorder="1" applyAlignment="1">
      <alignment horizontal="right" vertical="top"/>
    </xf>
    <xf numFmtId="0" fontId="2" fillId="3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0" fontId="6" fillId="0" borderId="0" xfId="0" applyFont="1"/>
    <xf numFmtId="2" fontId="7" fillId="0" borderId="0" xfId="0" applyNumberFormat="1" applyFont="1" applyAlignment="1">
      <alignment horizontal="center"/>
    </xf>
    <xf numFmtId="0" fontId="8" fillId="0" borderId="0" xfId="0" applyFont="1"/>
    <xf numFmtId="2" fontId="2" fillId="5" borderId="0" xfId="0" applyNumberFormat="1" applyFont="1" applyFill="1" applyAlignment="1">
      <alignment horizontal="center"/>
    </xf>
    <xf numFmtId="43" fontId="1" fillId="0" borderId="0" xfId="2" applyFont="1"/>
  </cellXfs>
  <cellStyles count="3">
    <cellStyle name="Обычный" xfId="0" builtinId="0"/>
    <cellStyle name="Обычный_Лист1" xfId="1" xr:uid="{CB8B79E1-EE2B-466C-A5F2-BDD8314B244B}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C5B4A0-61D9-4AF2-9497-AE2B2EB7BB80}">
  <we:reference id="wa200010725" version="1.0.0.1" store="ru-RU" storeType="OMEX"/>
  <we:alternateReferences>
    <we:reference id="WA200010725" version="1.0.0.1" store="WA200010725" storeType="OMEX"/>
  </we:alternateReferences>
  <we:properties>
    <we:property name="claude.fileId" value="&quot;8671787d-65fd-471b-98af-bab78376ad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4746-F8F9-4657-9E58-A620000D5C79}">
  <dimension ref="A1:O41"/>
  <sheetViews>
    <sheetView tabSelected="1" topLeftCell="A4" workbookViewId="0">
      <selection activeCell="B53" sqref="B53"/>
    </sheetView>
  </sheetViews>
  <sheetFormatPr defaultRowHeight="12.75" x14ac:dyDescent="0.2"/>
  <cols>
    <col min="1" max="1" width="9.33203125" style="1"/>
    <col min="2" max="9" width="21" style="1" customWidth="1"/>
    <col min="10" max="10" width="24.33203125" style="1" customWidth="1"/>
    <col min="11" max="14" width="21" style="1" customWidth="1"/>
    <col min="15" max="15" width="17.1640625" style="1" customWidth="1"/>
    <col min="16" max="16384" width="9.33203125" style="1"/>
  </cols>
  <sheetData>
    <row r="1" spans="1:15" hidden="1" x14ac:dyDescent="0.2"/>
    <row r="2" spans="1:15" hidden="1" x14ac:dyDescent="0.2"/>
    <row r="3" spans="1:15" hidden="1" x14ac:dyDescent="0.2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5" x14ac:dyDescent="0.2">
      <c r="A4" s="1">
        <v>2024</v>
      </c>
      <c r="B4" s="3">
        <v>183046582</v>
      </c>
      <c r="C4" s="3">
        <v>180242283.81</v>
      </c>
      <c r="D4" s="3">
        <v>156220228</v>
      </c>
      <c r="E4" s="3">
        <v>219213230.5</v>
      </c>
      <c r="F4" s="3">
        <v>211012315.94999999</v>
      </c>
      <c r="G4" s="3">
        <v>181440547</v>
      </c>
      <c r="H4" s="3">
        <v>219795009.66999999</v>
      </c>
      <c r="I4" s="3">
        <v>223747662.74000001</v>
      </c>
      <c r="J4" s="3">
        <v>226605679</v>
      </c>
      <c r="K4" s="3">
        <v>228085021.59999999</v>
      </c>
      <c r="L4" s="3">
        <v>229433093.80000001</v>
      </c>
      <c r="M4" s="3">
        <v>186578719</v>
      </c>
      <c r="N4" s="18">
        <f>SUM(B4:M4)</f>
        <v>2445420373.0700002</v>
      </c>
    </row>
    <row r="5" spans="1:15" x14ac:dyDescent="0.2">
      <c r="A5" s="1">
        <v>2025</v>
      </c>
      <c r="B5" s="3">
        <v>157984262.80000001</v>
      </c>
      <c r="C5" s="3">
        <v>157833525</v>
      </c>
      <c r="D5" s="3">
        <v>149120092.93000001</v>
      </c>
      <c r="E5" s="3">
        <v>169193562.19999999</v>
      </c>
      <c r="F5" s="3">
        <v>189721424</v>
      </c>
      <c r="G5" s="3">
        <v>206924287.41</v>
      </c>
      <c r="H5" s="3">
        <v>234117299.22999999</v>
      </c>
      <c r="I5" s="3">
        <v>247007097</v>
      </c>
      <c r="J5" s="3">
        <v>223364528.16999999</v>
      </c>
      <c r="K5" s="3">
        <v>264738487.80000001</v>
      </c>
      <c r="L5" s="3">
        <v>209901264.90000001</v>
      </c>
      <c r="M5" s="3">
        <v>225932186</v>
      </c>
      <c r="N5" s="18">
        <f>SUM(B5:M5)</f>
        <v>2435838017.4400001</v>
      </c>
    </row>
    <row r="6" spans="1:15" x14ac:dyDescent="0.2">
      <c r="A6" s="1">
        <v>2026</v>
      </c>
      <c r="B6" s="3">
        <v>158300647.08000001</v>
      </c>
      <c r="C6" s="3">
        <v>163011795</v>
      </c>
      <c r="D6" s="3">
        <v>165359349</v>
      </c>
      <c r="E6" s="3">
        <v>206967518</v>
      </c>
      <c r="F6" s="3">
        <v>171640728</v>
      </c>
      <c r="G6" s="3">
        <v>218395340.80000001</v>
      </c>
      <c r="H6" s="3">
        <v>251886934.09</v>
      </c>
      <c r="I6" s="3">
        <v>225103529.53</v>
      </c>
      <c r="J6" s="3">
        <v>166056709.33000001</v>
      </c>
      <c r="N6" s="18">
        <f>SUM(B6:M6)</f>
        <v>1726722550.8299999</v>
      </c>
    </row>
    <row r="8" spans="1:15" x14ac:dyDescent="0.2">
      <c r="B8" s="2" t="s">
        <v>14</v>
      </c>
    </row>
    <row r="9" spans="1:15" x14ac:dyDescent="0.2">
      <c r="D9" s="1">
        <v>2024</v>
      </c>
      <c r="G9" s="1">
        <v>2025</v>
      </c>
      <c r="J9" s="1">
        <v>2026</v>
      </c>
    </row>
    <row r="10" spans="1:15" x14ac:dyDescent="0.2"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24</v>
      </c>
      <c r="L10" s="13" t="s">
        <v>29</v>
      </c>
      <c r="M10" s="4" t="s">
        <v>25</v>
      </c>
      <c r="N10" s="4" t="s">
        <v>26</v>
      </c>
      <c r="O10" s="4" t="s">
        <v>27</v>
      </c>
    </row>
    <row r="11" spans="1:15" x14ac:dyDescent="0.2">
      <c r="B11" s="1" t="str" cm="1">
        <f t="array" ref="B11">INDEX($B$3:$M$3,ROW()-10)</f>
        <v>янв</v>
      </c>
      <c r="C11" s="5" cm="1">
        <f t="array" ref="C11">INDEX($B$4:$M$4,ROW()-10)</f>
        <v>183046582</v>
      </c>
      <c r="D11" s="6">
        <f>IFERROR(C11/$N$11,"")</f>
        <v>0.89823369764537564</v>
      </c>
      <c r="E11" s="7">
        <f>IFERROR(C11/$O$11,"")</f>
        <v>7.4852808137114632E-2</v>
      </c>
      <c r="F11" s="5" cm="1">
        <f t="array" ref="F11">INDEX($B$5:$M$5,ROW()-10)</f>
        <v>157984262.80000001</v>
      </c>
      <c r="G11" s="6">
        <f>IFERROR(F11/$N$12,"")</f>
        <v>0.77829935325192368</v>
      </c>
      <c r="H11" s="7">
        <f>IFERROR(F11/$O$12,"")</f>
        <v>6.4858279437660316E-2</v>
      </c>
      <c r="I11" s="5" cm="1">
        <f t="array" ref="I11">INDEX($B$6:$M$6,ROW()-10)</f>
        <v>158300647.08000001</v>
      </c>
      <c r="J11" s="6">
        <f>IFERROR(I11/$N$13,"")</f>
        <v>0.82509249852280753</v>
      </c>
      <c r="K11" s="7">
        <f>IFERROR(I11/$O$13,"")</f>
        <v>9.1676944280311951E-2</v>
      </c>
      <c r="L11" s="17">
        <f>F28</f>
        <v>0.79160313713599129</v>
      </c>
      <c r="M11" s="8">
        <f>$A$4</f>
        <v>2024</v>
      </c>
      <c r="N11" s="9">
        <f>IFERROR(AVERAGE($B$4:$M$4),"")</f>
        <v>203785031.08916667</v>
      </c>
      <c r="O11" s="5">
        <f>$N$4</f>
        <v>2445420373.0700002</v>
      </c>
    </row>
    <row r="12" spans="1:15" x14ac:dyDescent="0.2">
      <c r="B12" s="1" t="str" cm="1">
        <f t="array" ref="B12">INDEX($B$3:$M$3,ROW()-10)</f>
        <v>фев</v>
      </c>
      <c r="C12" s="5" cm="1">
        <f t="array" ref="C12">INDEX($B$4:$M$4,ROW()-10)</f>
        <v>180242283.81</v>
      </c>
      <c r="D12" s="6">
        <f t="shared" ref="D12:D22" si="0">IFERROR(C12/$N$11,"")</f>
        <v>0.88447263690891276</v>
      </c>
      <c r="E12" s="7">
        <f t="shared" ref="E12:E22" si="1">IFERROR(C12/$O$11,"")</f>
        <v>7.3706053075742725E-2</v>
      </c>
      <c r="F12" s="5" cm="1">
        <f t="array" ref="F12">INDEX($B$5:$M$5,ROW()-10)</f>
        <v>157833525</v>
      </c>
      <c r="G12" s="6">
        <f t="shared" ref="G12:G22" si="2">IFERROR(F12/$N$12,"")</f>
        <v>0.77755675313358696</v>
      </c>
      <c r="H12" s="7">
        <f t="shared" ref="H12:H22" si="3">IFERROR(F12/$O$12,"")</f>
        <v>6.479639609446558E-2</v>
      </c>
      <c r="I12" s="5" cm="1">
        <f t="array" ref="I12">INDEX($B$6:$M$6,ROW()-10)</f>
        <v>163011795</v>
      </c>
      <c r="J12" s="6">
        <f t="shared" ref="J12:J22" si="4">IFERROR(I12/$N$13,"")</f>
        <v>0.84964788019638271</v>
      </c>
      <c r="K12" s="7">
        <f t="shared" ref="K12:K22" si="5">IFERROR(I12/$O$13,"")</f>
        <v>9.4405320021820296E-2</v>
      </c>
      <c r="L12" s="17">
        <f>F29</f>
        <v>0.80335963481445727</v>
      </c>
      <c r="M12" s="8">
        <f>$A$5</f>
        <v>2025</v>
      </c>
      <c r="N12" s="9">
        <f>IFERROR(AVERAGE($B$5:$M$5),"")</f>
        <v>202986501.45333335</v>
      </c>
      <c r="O12" s="5">
        <f>$N$5</f>
        <v>2435838017.4400001</v>
      </c>
    </row>
    <row r="13" spans="1:15" x14ac:dyDescent="0.2">
      <c r="B13" s="1" t="str" cm="1">
        <f t="array" ref="B13">INDEX($B$3:$M$3,ROW()-10)</f>
        <v>мар</v>
      </c>
      <c r="C13" s="5" cm="1">
        <f t="array" ref="C13">INDEX($B$4:$M$4,ROW()-10)</f>
        <v>156220228</v>
      </c>
      <c r="D13" s="6">
        <f t="shared" si="0"/>
        <v>0.76659324369926574</v>
      </c>
      <c r="E13" s="7">
        <f t="shared" si="1"/>
        <v>6.3882770308272149E-2</v>
      </c>
      <c r="F13" s="5" cm="1">
        <f t="array" ref="F13">INDEX($B$5:$M$5,ROW()-10)</f>
        <v>149120092.93000001</v>
      </c>
      <c r="G13" s="6">
        <f t="shared" si="2"/>
        <v>0.73463058805554493</v>
      </c>
      <c r="H13" s="7">
        <f t="shared" si="3"/>
        <v>6.1219215671295416E-2</v>
      </c>
      <c r="I13" s="5" cm="1">
        <f t="array" ref="I13">INDEX($B$6:$M$6,ROW()-10)</f>
        <v>165359349</v>
      </c>
      <c r="J13" s="6">
        <f t="shared" si="4"/>
        <v>0.86188376950578227</v>
      </c>
      <c r="K13" s="7">
        <f t="shared" si="5"/>
        <v>9.5764863278420251E-2</v>
      </c>
      <c r="L13" s="17">
        <f>F30</f>
        <v>0.78820768144065445</v>
      </c>
      <c r="M13" s="8">
        <f>$A$6</f>
        <v>2026</v>
      </c>
      <c r="N13" s="9">
        <f>IFERROR(AVERAGE($B$6:$M$6),"")</f>
        <v>191858061.20333332</v>
      </c>
      <c r="O13" s="5">
        <f>$N$6</f>
        <v>1726722550.8299999</v>
      </c>
    </row>
    <row r="14" spans="1:15" x14ac:dyDescent="0.2">
      <c r="B14" s="1" t="str" cm="1">
        <f t="array" ref="B14">INDEX($B$3:$M$3,ROW()-10)</f>
        <v>апр</v>
      </c>
      <c r="C14" s="5" cm="1">
        <f t="array" ref="C14">INDEX($B$4:$M$4,ROW()-10)</f>
        <v>219213230.5</v>
      </c>
      <c r="D14" s="6">
        <f t="shared" si="0"/>
        <v>1.0757082074594708</v>
      </c>
      <c r="E14" s="7">
        <f t="shared" si="1"/>
        <v>8.9642350621622555E-2</v>
      </c>
      <c r="F14" s="5" cm="1">
        <f t="array" ref="F14">INDEX($B$5:$M$5,ROW()-10)</f>
        <v>169193562.19999999</v>
      </c>
      <c r="G14" s="6">
        <f t="shared" si="2"/>
        <v>0.83352124889396961</v>
      </c>
      <c r="H14" s="7">
        <f t="shared" si="3"/>
        <v>6.9460104074497472E-2</v>
      </c>
      <c r="I14" s="5" cm="1">
        <f t="array" ref="I14">INDEX($B$6:$M$6,ROW()-10)</f>
        <v>206967518</v>
      </c>
      <c r="J14" s="6">
        <f t="shared" si="4"/>
        <v>1.0787533070119661</v>
      </c>
      <c r="K14" s="7">
        <f t="shared" si="5"/>
        <v>0.11986147855688511</v>
      </c>
      <c r="L14" s="17">
        <f>F31</f>
        <v>0.94410018102870441</v>
      </c>
    </row>
    <row r="15" spans="1:15" x14ac:dyDescent="0.2">
      <c r="B15" s="1" t="str" cm="1">
        <f t="array" ref="B15">INDEX($B$3:$M$3,ROW()-10)</f>
        <v>май</v>
      </c>
      <c r="C15" s="5" cm="1">
        <f t="array" ref="C15">INDEX($B$4:$M$4,ROW()-10)</f>
        <v>211012315.94999999</v>
      </c>
      <c r="D15" s="6">
        <f t="shared" si="0"/>
        <v>1.0354652391405088</v>
      </c>
      <c r="E15" s="7">
        <f t="shared" si="1"/>
        <v>8.6288769928375725E-2</v>
      </c>
      <c r="F15" s="5" cm="1">
        <f t="array" ref="F15">INDEX($B$5:$M$5,ROW()-10)</f>
        <v>189721424</v>
      </c>
      <c r="G15" s="6">
        <f t="shared" si="2"/>
        <v>0.93465044543179643</v>
      </c>
      <c r="H15" s="7">
        <f t="shared" si="3"/>
        <v>7.7887537119316369E-2</v>
      </c>
      <c r="I15" s="5" cm="1">
        <f t="array" ref="I15">INDEX($B$6:$M$6,ROW()-10)</f>
        <v>171640728</v>
      </c>
      <c r="J15" s="6">
        <f t="shared" si="4"/>
        <v>0.89462348844489381</v>
      </c>
      <c r="K15" s="7">
        <f t="shared" si="5"/>
        <v>9.9402609827210428E-2</v>
      </c>
      <c r="L15" s="17">
        <f>F32</f>
        <v>0.90312232978799567</v>
      </c>
    </row>
    <row r="16" spans="1:15" x14ac:dyDescent="0.2">
      <c r="B16" s="1" t="str" cm="1">
        <f t="array" ref="B16">INDEX($B$3:$M$3,ROW()-10)</f>
        <v>июн</v>
      </c>
      <c r="C16" s="5" cm="1">
        <f t="array" ref="C16">INDEX($B$4:$M$4,ROW()-10)</f>
        <v>181440547</v>
      </c>
      <c r="D16" s="6">
        <f t="shared" si="0"/>
        <v>0.89035267227557169</v>
      </c>
      <c r="E16" s="7">
        <f t="shared" si="1"/>
        <v>7.4196056022964307E-2</v>
      </c>
      <c r="F16" s="5" cm="1">
        <f t="array" ref="F16">INDEX($B$5:$M$5,ROW()-10)</f>
        <v>206924287.41</v>
      </c>
      <c r="G16" s="6">
        <f t="shared" si="2"/>
        <v>1.0193992503367124</v>
      </c>
      <c r="H16" s="7">
        <f t="shared" si="3"/>
        <v>8.4949937528059377E-2</v>
      </c>
      <c r="I16" s="5" cm="1">
        <f t="array" ref="I16">INDEX($B$6:$M$6,ROW()-10)</f>
        <v>218395340.80000001</v>
      </c>
      <c r="J16" s="6">
        <f t="shared" si="4"/>
        <v>1.1383172509417896</v>
      </c>
      <c r="K16" s="7">
        <f t="shared" si="5"/>
        <v>0.12647969454908772</v>
      </c>
      <c r="L16" s="17">
        <f>F33</f>
        <v>1.065276182844249</v>
      </c>
    </row>
    <row r="17" spans="2:12" x14ac:dyDescent="0.2">
      <c r="B17" s="1" t="str" cm="1">
        <f t="array" ref="B17">INDEX($B$3:$M$3,ROW()-10)</f>
        <v>июл</v>
      </c>
      <c r="C17" s="5" cm="1">
        <f t="array" ref="C17">INDEX($B$4:$M$4,ROW()-10)</f>
        <v>219795009.66999999</v>
      </c>
      <c r="D17" s="6">
        <f t="shared" si="0"/>
        <v>1.0785630745068224</v>
      </c>
      <c r="E17" s="7">
        <f t="shared" si="1"/>
        <v>8.988025620890186E-2</v>
      </c>
      <c r="F17" s="5" cm="1">
        <f t="array" ref="F17">INDEX($B$5:$M$5,ROW()-10)</f>
        <v>234117299.22999999</v>
      </c>
      <c r="G17" s="6">
        <f t="shared" si="2"/>
        <v>1.1533638816067955</v>
      </c>
      <c r="H17" s="7">
        <f t="shared" si="3"/>
        <v>9.6113656800566299E-2</v>
      </c>
      <c r="I17" s="5" cm="1">
        <f t="array" ref="I17">INDEX($B$6:$M$6,ROW()-10)</f>
        <v>251886934.09</v>
      </c>
      <c r="J17" s="6">
        <f t="shared" si="4"/>
        <v>1.3128816819588696</v>
      </c>
      <c r="K17" s="7">
        <f t="shared" si="5"/>
        <v>0.14587574243987439</v>
      </c>
      <c r="L17" s="17">
        <f>F34</f>
        <v>1.2175986318661847</v>
      </c>
    </row>
    <row r="18" spans="2:12" x14ac:dyDescent="0.2">
      <c r="B18" s="1" t="str" cm="1">
        <f t="array" ref="B18">INDEX($B$3:$M$3,ROW()-10)</f>
        <v>авг</v>
      </c>
      <c r="C18" s="5" cm="1">
        <f t="array" ref="C18">INDEX($B$4:$M$4,ROW()-10)</f>
        <v>223747662.74000001</v>
      </c>
      <c r="D18" s="6">
        <f t="shared" si="0"/>
        <v>1.0979592639564317</v>
      </c>
      <c r="E18" s="7">
        <f t="shared" si="1"/>
        <v>9.1496605329702649E-2</v>
      </c>
      <c r="F18" s="5" cm="1">
        <f t="array" ref="F18">INDEX($B$5:$M$5,ROW()-10)</f>
        <v>247007097</v>
      </c>
      <c r="G18" s="6">
        <f t="shared" si="2"/>
        <v>1.2168646448482536</v>
      </c>
      <c r="H18" s="7">
        <f t="shared" si="3"/>
        <v>0.1014053870706878</v>
      </c>
      <c r="I18" s="5" cm="1">
        <f t="array" ref="I18">INDEX($B$6:$M$6,ROW()-10)</f>
        <v>225103529.53</v>
      </c>
      <c r="J18" s="6">
        <f t="shared" si="4"/>
        <v>1.1732815818014171</v>
      </c>
      <c r="K18" s="7">
        <f t="shared" si="5"/>
        <v>0.13036462020015743</v>
      </c>
      <c r="L18" s="17">
        <f>F35</f>
        <v>1.180027982015375</v>
      </c>
    </row>
    <row r="19" spans="2:12" x14ac:dyDescent="0.2">
      <c r="B19" s="1" t="str" cm="1">
        <f t="array" ref="B19">INDEX($B$3:$M$3,ROW()-10)</f>
        <v>сен</v>
      </c>
      <c r="C19" s="5" cm="1">
        <f t="array" ref="C19">INDEX($B$4:$M$4,ROW()-10)</f>
        <v>226605679</v>
      </c>
      <c r="D19" s="6">
        <f t="shared" si="0"/>
        <v>1.1119839263407336</v>
      </c>
      <c r="E19" s="7">
        <f t="shared" si="1"/>
        <v>9.2665327195061126E-2</v>
      </c>
      <c r="F19" s="5" cm="1">
        <f t="array" ref="F19">INDEX($B$5:$M$5,ROW()-10)</f>
        <v>223364528.16999999</v>
      </c>
      <c r="G19" s="6">
        <f t="shared" si="2"/>
        <v>1.1003910435953375</v>
      </c>
      <c r="H19" s="7">
        <f t="shared" si="3"/>
        <v>9.1699253632944802E-2</v>
      </c>
      <c r="I19" s="5" cm="1">
        <f t="array" ref="I19">INDEX($B$6:$M$6,ROW()-10)</f>
        <v>166056709.33000001</v>
      </c>
      <c r="J19" s="6">
        <f t="shared" si="4"/>
        <v>0.86551854161609221</v>
      </c>
      <c r="K19" s="7">
        <f t="shared" si="5"/>
        <v>9.6168726846232469E-2</v>
      </c>
      <c r="L19" s="17">
        <f>F36</f>
        <v>0.97058008200338819</v>
      </c>
    </row>
    <row r="20" spans="2:12" x14ac:dyDescent="0.2">
      <c r="B20" s="1" t="str" cm="1">
        <f t="array" ref="B20">INDEX($B$3:$M$3,ROW()-10)</f>
        <v>окт</v>
      </c>
      <c r="C20" s="5" cm="1">
        <f t="array" ref="C20">INDEX($B$4:$M$4,ROW()-10)</f>
        <v>228085021.59999999</v>
      </c>
      <c r="D20" s="6">
        <f t="shared" si="0"/>
        <v>1.1192432554096714</v>
      </c>
      <c r="E20" s="7">
        <f t="shared" si="1"/>
        <v>9.3270271284139283E-2</v>
      </c>
      <c r="F20" s="5" cm="1">
        <f t="array" ref="F20">INDEX($B$5:$M$5,ROW()-10)</f>
        <v>264738487.80000001</v>
      </c>
      <c r="G20" s="6">
        <f t="shared" si="2"/>
        <v>1.3042172060927089</v>
      </c>
      <c r="H20" s="7">
        <f t="shared" si="3"/>
        <v>0.10868476717439242</v>
      </c>
      <c r="I20" s="5" cm="1">
        <f t="array" ref="I20">INDEX($B$6:$M$6,ROW()-10)</f>
        <v>0</v>
      </c>
      <c r="J20" s="6">
        <f t="shared" si="4"/>
        <v>0</v>
      </c>
      <c r="K20" s="7">
        <f t="shared" si="5"/>
        <v>0</v>
      </c>
      <c r="L20" s="17">
        <f>F37</f>
        <v>1.2421367126634877</v>
      </c>
    </row>
    <row r="21" spans="2:12" x14ac:dyDescent="0.2">
      <c r="B21" s="1" t="str" cm="1">
        <f t="array" ref="B21">INDEX($B$3:$M$3,ROW()-10)</f>
        <v>ноя</v>
      </c>
      <c r="C21" s="5" cm="1">
        <f t="array" ref="C21">INDEX($B$4:$M$4,ROW()-10)</f>
        <v>229433093.80000001</v>
      </c>
      <c r="D21" s="6">
        <f t="shared" si="0"/>
        <v>1.1258584233285072</v>
      </c>
      <c r="E21" s="7">
        <f t="shared" si="1"/>
        <v>9.3821535277375592E-2</v>
      </c>
      <c r="F21" s="5" cm="1">
        <f t="array" ref="F21">INDEX($B$5:$M$5,ROW()-10)</f>
        <v>209901264.90000001</v>
      </c>
      <c r="G21" s="6">
        <f t="shared" si="2"/>
        <v>1.034065139293296</v>
      </c>
      <c r="H21" s="7">
        <f t="shared" si="3"/>
        <v>8.6172094941108016E-2</v>
      </c>
      <c r="I21" s="5" cm="1">
        <f t="array" ref="I21">INDEX($B$6:$M$6,ROW()-10)</f>
        <v>0</v>
      </c>
      <c r="J21" s="6">
        <f t="shared" si="4"/>
        <v>0</v>
      </c>
      <c r="K21" s="7">
        <f t="shared" si="5"/>
        <v>0</v>
      </c>
      <c r="L21" s="17">
        <f>F38</f>
        <v>1.0437064030779024</v>
      </c>
    </row>
    <row r="22" spans="2:12" x14ac:dyDescent="0.2">
      <c r="B22" s="1" t="str" cm="1">
        <f t="array" ref="B22">INDEX($B$3:$M$3,ROW()-10)</f>
        <v>дек</v>
      </c>
      <c r="C22" s="5" cm="1">
        <f t="array" ref="C22">INDEX($B$4:$M$4,ROW()-10)</f>
        <v>186578719</v>
      </c>
      <c r="D22" s="6">
        <f t="shared" si="0"/>
        <v>0.9155663593287281</v>
      </c>
      <c r="E22" s="7">
        <f t="shared" si="1"/>
        <v>7.6297196610727341E-2</v>
      </c>
      <c r="F22" s="5" cm="1">
        <f t="array" ref="F22">INDEX($B$5:$M$5,ROW()-10)</f>
        <v>225932186</v>
      </c>
      <c r="G22" s="6">
        <f t="shared" si="2"/>
        <v>1.1130404454600735</v>
      </c>
      <c r="H22" s="7">
        <f t="shared" si="3"/>
        <v>9.2753370455006132E-2</v>
      </c>
      <c r="I22" s="5" cm="1">
        <f t="array" ref="I22">INDEX($B$6:$M$6,ROW()-10)</f>
        <v>0</v>
      </c>
      <c r="J22" s="6">
        <f t="shared" si="4"/>
        <v>0</v>
      </c>
      <c r="K22" s="7">
        <f t="shared" si="5"/>
        <v>0</v>
      </c>
      <c r="L22" s="17">
        <f>F39</f>
        <v>1.0502810413216122</v>
      </c>
    </row>
    <row r="23" spans="2:12" x14ac:dyDescent="0.2">
      <c r="B23" s="2" t="s">
        <v>28</v>
      </c>
      <c r="C23" s="10">
        <f>SUM(C11:C22)</f>
        <v>2445420373.0700002</v>
      </c>
      <c r="D23" s="11">
        <f>AVERAGE(D11:D22)</f>
        <v>1</v>
      </c>
      <c r="E23" s="12">
        <f>SUM(E11:E22)</f>
        <v>0.99999999999999989</v>
      </c>
      <c r="F23" s="10">
        <f>SUM(F11:F22)</f>
        <v>2435838017.4400001</v>
      </c>
      <c r="G23" s="11">
        <f>IFERROR(AVERAGE(G11:G22),"")</f>
        <v>0.99999999999999989</v>
      </c>
      <c r="H23" s="12">
        <f>SUM(H11:H22)</f>
        <v>1</v>
      </c>
      <c r="I23" s="10">
        <f>SUM(I11:I22)</f>
        <v>1726722550.8299999</v>
      </c>
      <c r="J23" s="11">
        <f>IFERROR(AVERAGE(J11:J22),"")</f>
        <v>0.75000000000000011</v>
      </c>
      <c r="K23" s="12">
        <f>SUM(K11:K22)</f>
        <v>0.99999999999999989</v>
      </c>
      <c r="L23" s="17">
        <f>AVERAGE(L11:L22)</f>
        <v>1.0000000000000002</v>
      </c>
    </row>
    <row r="26" spans="2:12" hidden="1" x14ac:dyDescent="0.2">
      <c r="B26" s="14" t="s">
        <v>30</v>
      </c>
    </row>
    <row r="27" spans="2:12" hidden="1" x14ac:dyDescent="0.2">
      <c r="B27" s="4" t="s">
        <v>15</v>
      </c>
      <c r="C27" s="4" t="s">
        <v>31</v>
      </c>
      <c r="D27" s="4" t="s">
        <v>32</v>
      </c>
      <c r="E27" s="4" t="s">
        <v>33</v>
      </c>
      <c r="F27" s="4" t="s">
        <v>34</v>
      </c>
      <c r="G27" s="4" t="s">
        <v>18</v>
      </c>
    </row>
    <row r="28" spans="2:12" hidden="1" x14ac:dyDescent="0.2">
      <c r="B28" s="1" t="str">
        <f>B11</f>
        <v>янв</v>
      </c>
      <c r="C28" s="6">
        <f>IFERROR(G11,"")</f>
        <v>0.77829935325192368</v>
      </c>
      <c r="D28" s="6">
        <f>IF(N(J11)=0,"",J11)</f>
        <v>0.82509249852280753</v>
      </c>
      <c r="E28" s="6">
        <f>IF(D28="",C28,AVERAGE(C28,D28))</f>
        <v>0.8016959258873656</v>
      </c>
      <c r="F28" s="11">
        <f>IFERROR(E28/AVERAGE($E$28:$E$39),"")</f>
        <v>0.79160313713599129</v>
      </c>
      <c r="G28" s="7">
        <f>IFERROR(F28/12,"")</f>
        <v>6.5966928094665936E-2</v>
      </c>
    </row>
    <row r="29" spans="2:12" hidden="1" x14ac:dyDescent="0.2">
      <c r="B29" s="1" t="str">
        <f t="shared" ref="B29:B39" si="6">B12</f>
        <v>фев</v>
      </c>
      <c r="C29" s="6">
        <f t="shared" ref="C29:C39" si="7">IFERROR(G12,"")</f>
        <v>0.77755675313358696</v>
      </c>
      <c r="D29" s="6">
        <f t="shared" ref="D29:D36" si="8">IF(N(J12)=0,"",J12)</f>
        <v>0.84964788019638271</v>
      </c>
      <c r="E29" s="6">
        <f t="shared" ref="E29:E39" si="9">IF(D29="",C29,AVERAGE(C29,D29))</f>
        <v>0.81360231666498484</v>
      </c>
      <c r="F29" s="11">
        <f t="shared" ref="F29:F39" si="10">IFERROR(E29/AVERAGE($E$28:$E$39),"")</f>
        <v>0.80335963481445727</v>
      </c>
      <c r="G29" s="7">
        <f t="shared" ref="G29:G39" si="11">IFERROR(F29/12,"")</f>
        <v>6.6946636234538101E-2</v>
      </c>
    </row>
    <row r="30" spans="2:12" hidden="1" x14ac:dyDescent="0.2">
      <c r="B30" s="1" t="str">
        <f t="shared" si="6"/>
        <v>мар</v>
      </c>
      <c r="C30" s="6">
        <f t="shared" si="7"/>
        <v>0.73463058805554493</v>
      </c>
      <c r="D30" s="6">
        <f t="shared" si="8"/>
        <v>0.86188376950578227</v>
      </c>
      <c r="E30" s="6">
        <f t="shared" si="9"/>
        <v>0.7982571787806636</v>
      </c>
      <c r="F30" s="11">
        <f t="shared" si="10"/>
        <v>0.78820768144065445</v>
      </c>
      <c r="G30" s="7">
        <f t="shared" si="11"/>
        <v>6.5683973453387876E-2</v>
      </c>
    </row>
    <row r="31" spans="2:12" hidden="1" x14ac:dyDescent="0.2">
      <c r="B31" s="1" t="str">
        <f t="shared" si="6"/>
        <v>апр</v>
      </c>
      <c r="C31" s="6">
        <f t="shared" si="7"/>
        <v>0.83352124889396961</v>
      </c>
      <c r="D31" s="6">
        <f t="shared" si="8"/>
        <v>1.0787533070119661</v>
      </c>
      <c r="E31" s="6">
        <f t="shared" si="9"/>
        <v>0.95613727795296788</v>
      </c>
      <c r="F31" s="11">
        <f t="shared" si="10"/>
        <v>0.94410018102870441</v>
      </c>
      <c r="G31" s="7">
        <f t="shared" si="11"/>
        <v>7.8675015085725372E-2</v>
      </c>
    </row>
    <row r="32" spans="2:12" hidden="1" x14ac:dyDescent="0.2">
      <c r="B32" s="1" t="str">
        <f t="shared" si="6"/>
        <v>май</v>
      </c>
      <c r="C32" s="6">
        <f t="shared" si="7"/>
        <v>0.93465044543179643</v>
      </c>
      <c r="D32" s="6">
        <f t="shared" si="8"/>
        <v>0.89462348844489381</v>
      </c>
      <c r="E32" s="6">
        <f t="shared" si="9"/>
        <v>0.91463696693834518</v>
      </c>
      <c r="F32" s="11">
        <f t="shared" si="10"/>
        <v>0.90312232978799567</v>
      </c>
      <c r="G32" s="7">
        <f t="shared" si="11"/>
        <v>7.5260194148999635E-2</v>
      </c>
    </row>
    <row r="33" spans="2:8" hidden="1" x14ac:dyDescent="0.2">
      <c r="B33" s="1" t="str">
        <f t="shared" si="6"/>
        <v>июн</v>
      </c>
      <c r="C33" s="6">
        <f t="shared" si="7"/>
        <v>1.0193992503367124</v>
      </c>
      <c r="D33" s="6">
        <f t="shared" si="8"/>
        <v>1.1383172509417896</v>
      </c>
      <c r="E33" s="6">
        <f t="shared" si="9"/>
        <v>1.078858250639251</v>
      </c>
      <c r="F33" s="11">
        <f t="shared" si="10"/>
        <v>1.065276182844249</v>
      </c>
      <c r="G33" s="7">
        <f t="shared" si="11"/>
        <v>8.8773015237020747E-2</v>
      </c>
    </row>
    <row r="34" spans="2:8" hidden="1" x14ac:dyDescent="0.2">
      <c r="B34" s="1" t="str">
        <f t="shared" si="6"/>
        <v>июл</v>
      </c>
      <c r="C34" s="6">
        <f t="shared" si="7"/>
        <v>1.1533638816067955</v>
      </c>
      <c r="D34" s="6">
        <f t="shared" si="8"/>
        <v>1.3128816819588696</v>
      </c>
      <c r="E34" s="6">
        <f t="shared" si="9"/>
        <v>1.2331227817828325</v>
      </c>
      <c r="F34" s="11">
        <f t="shared" si="10"/>
        <v>1.2175986318661847</v>
      </c>
      <c r="G34" s="7">
        <f t="shared" si="11"/>
        <v>0.10146655265551539</v>
      </c>
    </row>
    <row r="35" spans="2:8" hidden="1" x14ac:dyDescent="0.2">
      <c r="B35" s="1" t="str">
        <f t="shared" si="6"/>
        <v>авг</v>
      </c>
      <c r="C35" s="6">
        <f t="shared" si="7"/>
        <v>1.2168646448482536</v>
      </c>
      <c r="D35" s="6">
        <f t="shared" si="8"/>
        <v>1.1732815818014171</v>
      </c>
      <c r="E35" s="6">
        <f t="shared" si="9"/>
        <v>1.1950731133248353</v>
      </c>
      <c r="F35" s="11">
        <f t="shared" si="10"/>
        <v>1.180027982015375</v>
      </c>
      <c r="G35" s="7">
        <f t="shared" si="11"/>
        <v>9.8335665167947908E-2</v>
      </c>
    </row>
    <row r="36" spans="2:8" hidden="1" x14ac:dyDescent="0.2">
      <c r="B36" s="1" t="str">
        <f t="shared" si="6"/>
        <v>сен</v>
      </c>
      <c r="C36" s="6">
        <f t="shared" si="7"/>
        <v>1.1003910435953375</v>
      </c>
      <c r="D36" s="6">
        <f t="shared" si="8"/>
        <v>0.86551854161609221</v>
      </c>
      <c r="E36" s="6">
        <f t="shared" si="9"/>
        <v>0.98295479260571483</v>
      </c>
      <c r="F36" s="11">
        <f t="shared" si="10"/>
        <v>0.97058008200338819</v>
      </c>
      <c r="G36" s="7">
        <f t="shared" si="11"/>
        <v>8.0881673500282344E-2</v>
      </c>
    </row>
    <row r="37" spans="2:8" hidden="1" x14ac:dyDescent="0.2">
      <c r="B37" s="1" t="str">
        <f t="shared" si="6"/>
        <v>окт</v>
      </c>
      <c r="C37" s="6">
        <f t="shared" si="7"/>
        <v>1.3042172060927089</v>
      </c>
      <c r="D37" s="15">
        <f>AVERAGE(D20,G20)</f>
        <v>1.2117302307511901</v>
      </c>
      <c r="E37" s="6">
        <f t="shared" si="9"/>
        <v>1.2579737184219495</v>
      </c>
      <c r="F37" s="11">
        <f t="shared" si="10"/>
        <v>1.2421367126634877</v>
      </c>
      <c r="G37" s="7">
        <f t="shared" si="11"/>
        <v>0.10351139272195731</v>
      </c>
      <c r="H37" s="16" t="s">
        <v>35</v>
      </c>
    </row>
    <row r="38" spans="2:8" hidden="1" x14ac:dyDescent="0.2">
      <c r="B38" s="1" t="str">
        <f t="shared" si="6"/>
        <v>ноя</v>
      </c>
      <c r="C38" s="6">
        <f t="shared" si="7"/>
        <v>1.034065139293296</v>
      </c>
      <c r="D38" s="15">
        <f>AVERAGE(D21,G21)</f>
        <v>1.0799617813109017</v>
      </c>
      <c r="E38" s="6">
        <f t="shared" si="9"/>
        <v>1.0570134603020989</v>
      </c>
      <c r="F38" s="11">
        <f t="shared" si="10"/>
        <v>1.0437064030779024</v>
      </c>
      <c r="G38" s="7">
        <f t="shared" si="11"/>
        <v>8.6975533589825196E-2</v>
      </c>
      <c r="H38" s="16" t="s">
        <v>35</v>
      </c>
    </row>
    <row r="39" spans="2:8" hidden="1" x14ac:dyDescent="0.2">
      <c r="B39" s="1" t="str">
        <f t="shared" si="6"/>
        <v>дек</v>
      </c>
      <c r="C39" s="6">
        <f t="shared" si="7"/>
        <v>1.1130404454600735</v>
      </c>
      <c r="D39" s="15">
        <f>AVERAGE(D22,G22)</f>
        <v>1.0143034023944009</v>
      </c>
      <c r="E39" s="6">
        <f t="shared" si="9"/>
        <v>1.0636719239272372</v>
      </c>
      <c r="F39" s="11">
        <f t="shared" si="10"/>
        <v>1.0502810413216122</v>
      </c>
      <c r="G39" s="7">
        <f t="shared" si="11"/>
        <v>8.7523420110134351E-2</v>
      </c>
      <c r="H39" s="16" t="s">
        <v>35</v>
      </c>
    </row>
    <row r="40" spans="2:8" hidden="1" x14ac:dyDescent="0.2">
      <c r="B40" s="2" t="s">
        <v>28</v>
      </c>
      <c r="F40" s="11">
        <f>AVERAGE(F28:F39)</f>
        <v>1.0000000000000002</v>
      </c>
      <c r="G40" s="12">
        <f>SUM(G28:G39)</f>
        <v>1.0000000000000002</v>
      </c>
    </row>
    <row r="41" spans="2:8" hidden="1" x14ac:dyDescent="0.2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Сезонность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Асем Дуйсембинова</cp:lastModifiedBy>
  <dcterms:created xsi:type="dcterms:W3CDTF">2026-09-22T10:23:09Z</dcterms:created>
  <dcterms:modified xsi:type="dcterms:W3CDTF">2026-09-22T10:46:40Z</dcterms:modified>
</cp:coreProperties>
</file>