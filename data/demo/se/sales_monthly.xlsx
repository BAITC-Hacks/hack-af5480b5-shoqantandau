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3\од\Кейсы для Хакатона\Systeme electric\"/>
    </mc:Choice>
  </mc:AlternateContent>
  <xr:revisionPtr revIDLastSave="0" documentId="13_ncr:1_{31D7B361-8E80-4E0B-8ACF-F1B53438E5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_1" sheetId="1" r:id="rId1"/>
    <sheet name="Лист1" sheetId="2" state="hidden" r:id="rId2"/>
  </sheets>
  <definedNames>
    <definedName name="_xlnm._FilterDatabase" localSheetId="0" hidden="1">Лист_1!$A$1:$D$557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" i="2" l="1" a="1"/>
  <c r="I22" i="2" s="1"/>
  <c r="F22" i="2"/>
  <c r="H22" i="2" s="1"/>
  <c r="F22" i="2" a="1"/>
  <c r="C22" i="2" a="1"/>
  <c r="C22" i="2" s="1"/>
  <c r="B22" i="2" a="1"/>
  <c r="B22" i="2" s="1"/>
  <c r="I21" i="2" a="1"/>
  <c r="I21" i="2" s="1"/>
  <c r="F21" i="2" a="1"/>
  <c r="F21" i="2" s="1"/>
  <c r="C21" i="2" a="1"/>
  <c r="C21" i="2" s="1"/>
  <c r="B21" i="2" a="1"/>
  <c r="B21" i="2" s="1"/>
  <c r="I20" i="2"/>
  <c r="K20" i="2" s="1"/>
  <c r="I20" i="2" a="1"/>
  <c r="F20" i="2" a="1"/>
  <c r="F20" i="2" s="1"/>
  <c r="C20" i="2"/>
  <c r="C20" i="2" a="1"/>
  <c r="B20" i="2" a="1"/>
  <c r="B20" i="2" s="1"/>
  <c r="I19" i="2" a="1"/>
  <c r="I19" i="2" s="1"/>
  <c r="F19" i="2" a="1"/>
  <c r="F19" i="2" s="1"/>
  <c r="C19" i="2" a="1"/>
  <c r="C19" i="2" s="1"/>
  <c r="B19" i="2"/>
  <c r="B19" i="2" a="1"/>
  <c r="I18" i="2" a="1"/>
  <c r="I18" i="2" s="1"/>
  <c r="F18" i="2"/>
  <c r="H18" i="2" s="1"/>
  <c r="F18" i="2" a="1"/>
  <c r="C18" i="2" a="1"/>
  <c r="C18" i="2" s="1"/>
  <c r="B18" i="2" a="1"/>
  <c r="B18" i="2" s="1"/>
  <c r="I17" i="2" a="1"/>
  <c r="I17" i="2" s="1"/>
  <c r="F17" i="2" a="1"/>
  <c r="F17" i="2" s="1"/>
  <c r="C17" i="2" a="1"/>
  <c r="C17" i="2" s="1"/>
  <c r="B17" i="2" a="1"/>
  <c r="B17" i="2" s="1"/>
  <c r="I16" i="2"/>
  <c r="K16" i="2" s="1"/>
  <c r="I16" i="2" a="1"/>
  <c r="F16" i="2" a="1"/>
  <c r="F16" i="2" s="1"/>
  <c r="C16" i="2"/>
  <c r="C16" i="2" a="1"/>
  <c r="B16" i="2" a="1"/>
  <c r="B16" i="2" s="1"/>
  <c r="I15" i="2" a="1"/>
  <c r="I15" i="2" s="1"/>
  <c r="F15" i="2" a="1"/>
  <c r="F15" i="2" s="1"/>
  <c r="C15" i="2" a="1"/>
  <c r="C15" i="2" s="1"/>
  <c r="B15" i="2"/>
  <c r="B15" i="2" a="1"/>
  <c r="I14" i="2" a="1"/>
  <c r="I14" i="2" s="1"/>
  <c r="F14" i="2"/>
  <c r="H14" i="2" s="1"/>
  <c r="F14" i="2" a="1"/>
  <c r="C14" i="2" a="1"/>
  <c r="C14" i="2" s="1"/>
  <c r="B14" i="2" a="1"/>
  <c r="B14" i="2" s="1"/>
  <c r="O13" i="2"/>
  <c r="N13" i="2"/>
  <c r="M13" i="2"/>
  <c r="I13" i="2"/>
  <c r="K13" i="2" s="1"/>
  <c r="I13" i="2" a="1"/>
  <c r="G13" i="2"/>
  <c r="F13" i="2"/>
  <c r="H13" i="2" s="1"/>
  <c r="F13" i="2" a="1"/>
  <c r="C13" i="2"/>
  <c r="C13" i="2" a="1"/>
  <c r="B13" i="2" a="1"/>
  <c r="B13" i="2" s="1"/>
  <c r="O12" i="2"/>
  <c r="N12" i="2"/>
  <c r="M12" i="2"/>
  <c r="I12" i="2" a="1"/>
  <c r="I12" i="2" s="1"/>
  <c r="F12" i="2" a="1"/>
  <c r="F12" i="2" s="1"/>
  <c r="C12" i="2" a="1"/>
  <c r="C12" i="2" s="1"/>
  <c r="B12" i="2"/>
  <c r="B12" i="2" a="1"/>
  <c r="N11" i="2"/>
  <c r="M11" i="2"/>
  <c r="I11" i="2" a="1"/>
  <c r="I11" i="2" s="1"/>
  <c r="H11" i="2"/>
  <c r="F11" i="2"/>
  <c r="G11" i="2" s="1"/>
  <c r="F11" i="2" a="1"/>
  <c r="C11" i="2" a="1"/>
  <c r="C11" i="2" s="1"/>
  <c r="B11" i="2"/>
  <c r="B11" i="2" a="1"/>
  <c r="N6" i="2"/>
  <c r="N5" i="2"/>
  <c r="N4" i="2"/>
  <c r="O11" i="2" s="1"/>
  <c r="D21" i="2" l="1"/>
  <c r="E21" i="2"/>
  <c r="C23" i="2"/>
  <c r="E11" i="2"/>
  <c r="D11" i="2"/>
  <c r="H21" i="2"/>
  <c r="G21" i="2"/>
  <c r="E12" i="2"/>
  <c r="D12" i="2"/>
  <c r="E13" i="2"/>
  <c r="E15" i="2"/>
  <c r="D15" i="2"/>
  <c r="J21" i="2"/>
  <c r="K21" i="2"/>
  <c r="H16" i="2"/>
  <c r="G16" i="2"/>
  <c r="G12" i="2"/>
  <c r="H12" i="2"/>
  <c r="G15" i="2"/>
  <c r="H15" i="2"/>
  <c r="H23" i="2" s="1"/>
  <c r="K18" i="2"/>
  <c r="J18" i="2"/>
  <c r="E20" i="2"/>
  <c r="K12" i="2"/>
  <c r="J12" i="2"/>
  <c r="E14" i="2"/>
  <c r="D14" i="2"/>
  <c r="K15" i="2"/>
  <c r="J15" i="2"/>
  <c r="D17" i="2"/>
  <c r="E17" i="2"/>
  <c r="H20" i="2"/>
  <c r="G20" i="2"/>
  <c r="E22" i="2"/>
  <c r="D22" i="2"/>
  <c r="E18" i="2"/>
  <c r="D18" i="2"/>
  <c r="I23" i="2"/>
  <c r="K11" i="2"/>
  <c r="J11" i="2"/>
  <c r="H17" i="2"/>
  <c r="G17" i="2"/>
  <c r="K19" i="2"/>
  <c r="J19" i="2"/>
  <c r="J17" i="2"/>
  <c r="K17" i="2"/>
  <c r="E19" i="2"/>
  <c r="D19" i="2"/>
  <c r="K14" i="2"/>
  <c r="J14" i="2"/>
  <c r="E16" i="2"/>
  <c r="G19" i="2"/>
  <c r="H19" i="2"/>
  <c r="K22" i="2"/>
  <c r="J22" i="2"/>
  <c r="G14" i="2"/>
  <c r="G23" i="2" s="1"/>
  <c r="D16" i="2"/>
  <c r="J16" i="2"/>
  <c r="G18" i="2"/>
  <c r="D20" i="2"/>
  <c r="J20" i="2"/>
  <c r="G22" i="2"/>
  <c r="F23" i="2"/>
  <c r="D13" i="2"/>
  <c r="J13" i="2"/>
  <c r="D23" i="2" l="1"/>
  <c r="E23" i="2"/>
  <c r="J23" i="2"/>
  <c r="K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<sst xmlns="http://schemas.openxmlformats.org/spreadsheetml/2006/main" count="1764" uniqueCount="1720">
  <si>
    <t>Номенклатура</t>
  </si>
  <si>
    <t>Номенклатура.Код</t>
  </si>
  <si>
    <t>янв. 2024</t>
  </si>
  <si>
    <t>февр. 2024</t>
  </si>
  <si>
    <t>март 2024</t>
  </si>
  <si>
    <t>апр. 2024</t>
  </si>
  <si>
    <t>май 2024</t>
  </si>
  <si>
    <t>июнь 2024</t>
  </si>
  <si>
    <t>июль 2024</t>
  </si>
  <si>
    <t>авг. 2024</t>
  </si>
  <si>
    <t>сент. 2024</t>
  </si>
  <si>
    <t>окт. 2024</t>
  </si>
  <si>
    <t>нояб. 2024</t>
  </si>
  <si>
    <t>дек. 2024</t>
  </si>
  <si>
    <t>янв. 2025</t>
  </si>
  <si>
    <t>февр. 2025</t>
  </si>
  <si>
    <t>март 2025</t>
  </si>
  <si>
    <t>апр. 2025</t>
  </si>
  <si>
    <t>май 2025</t>
  </si>
  <si>
    <t>июнь 2025</t>
  </si>
  <si>
    <t>июль 2025</t>
  </si>
  <si>
    <t>авг. 2025</t>
  </si>
  <si>
    <t>сент. 2025</t>
  </si>
  <si>
    <t>окт. 2025</t>
  </si>
  <si>
    <t>нояб. 2025</t>
  </si>
  <si>
    <t>дек. 2025</t>
  </si>
  <si>
    <t>янв. 2026</t>
  </si>
  <si>
    <t>февр. 2026</t>
  </si>
  <si>
    <t>март 2026</t>
  </si>
  <si>
    <t>апр. 2026</t>
  </si>
  <si>
    <t>май 2026</t>
  </si>
  <si>
    <t>июнь 2026</t>
  </si>
  <si>
    <t>июль 2026</t>
  </si>
  <si>
    <t>авг. 2026</t>
  </si>
  <si>
    <t>сент. 2026</t>
  </si>
  <si>
    <t>Итого</t>
  </si>
  <si>
    <t>Количество</t>
  </si>
  <si>
    <t xml:space="preserve"> S174  (1кл, инд с/у 16А, IP44) Переключатель "Wessen 59" ВС 616-157Б-18 (60) !!!</t>
  </si>
  <si>
    <t>030200128_</t>
  </si>
  <si>
    <t xml:space="preserve"> S179   2кл с/у 16А  "Wessen 59" ВС 510-252-18 (10/60) !!!</t>
  </si>
  <si>
    <t>030200382_</t>
  </si>
  <si>
    <t xml:space="preserve"> S183  Переключатель 1кл, с инд.,с/у 16А "Wessen 59" ВС 616-157-18 (60) !!!</t>
  </si>
  <si>
    <t>030200127_</t>
  </si>
  <si>
    <t xml:space="preserve"> S184  Диммер (с/у 600Вт) "Wessen 59" ВПП-5С2-18(2/16) !!!</t>
  </si>
  <si>
    <t>030200141_</t>
  </si>
  <si>
    <t xml:space="preserve"> S185 роз-ТВ. с\у  "Wessen 59" РТС 151-18 (60) !!!</t>
  </si>
  <si>
    <t>030200096_</t>
  </si>
  <si>
    <t xml:space="preserve"> S186  с/у. з/ш 16А  "Wessen 59"  РС 16-151-18 (10/60) !!!</t>
  </si>
  <si>
    <t>030200072_</t>
  </si>
  <si>
    <t xml:space="preserve"> S187 с/у. з/ш. з/к.16А "Wessen 59" РС 16-152-18 (10/60) !!!</t>
  </si>
  <si>
    <t>030200093_</t>
  </si>
  <si>
    <t xml:space="preserve"> S188   с/у. з/ш, 2-я 16А  "Wessen 59" РС 16-254-18 (6/36) !!!</t>
  </si>
  <si>
    <t>030200135_</t>
  </si>
  <si>
    <t xml:space="preserve"> S189  с/у. з/ш, з,к, 2-я 16А  "Wessen 59" РС 16-255-18 (6/36) !!!</t>
  </si>
  <si>
    <t>030200136_</t>
  </si>
  <si>
    <t xml:space="preserve"> S190  с/у. з/ш. з/к.16А, IP44 "Wessen 59" РС 16-152Б-18 (10/60) !!!</t>
  </si>
  <si>
    <t>030200134_</t>
  </si>
  <si>
    <t xml:space="preserve"> S191 роз тел. с\у 1А "Wessen 59" РСИ 152 Т-18 (60) !!!</t>
  </si>
  <si>
    <t>030200094_</t>
  </si>
  <si>
    <t xml:space="preserve"> S192 роз информ. с\у 1А  "Wessen 59" РСИ 152 К5Е-18 (60) !!!</t>
  </si>
  <si>
    <t>030200090_</t>
  </si>
  <si>
    <t xml:space="preserve"> S194 2-я роз тел/комп с\у 1А  "Wessen 59" РСИ 251 ТК5Е-18 (60) !!!</t>
  </si>
  <si>
    <t>030200095_</t>
  </si>
  <si>
    <t xml:space="preserve"> S195 2-я роз информ. с\у 1А  "Wessen 59" РСИ 251 КК5Е-1-86 (60) !!!</t>
  </si>
  <si>
    <t>030200142_</t>
  </si>
  <si>
    <t xml:space="preserve"> Распределительная коробка с/у для твердых стен  70х40 IP30 IMT35120 Systeme Electric (175)</t>
  </si>
  <si>
    <t>280300174_</t>
  </si>
  <si>
    <t xml:space="preserve"> Распределительная коробка с/у для твердых стен  75х30 карболит IP30 У-195 Systeme Electric (108)</t>
  </si>
  <si>
    <t>030300013_</t>
  </si>
  <si>
    <t xml:space="preserve"> Распределительная коробка с/у для твердых стен 100х100х50 IP30 IMT35122 Systeme Electric (72)</t>
  </si>
  <si>
    <t>030200220_</t>
  </si>
  <si>
    <t xml:space="preserve"> Распределительная коробка с/у для твердых стен 100х50 IP30 IMT35121 Systeme Electric (84)</t>
  </si>
  <si>
    <t>030200219_</t>
  </si>
  <si>
    <t xml:space="preserve"> Распределительная коробка с/у для твердых стен 102х15 карболит IP30 У-191 Systeme Electric (100)</t>
  </si>
  <si>
    <t>030300078_</t>
  </si>
  <si>
    <t xml:space="preserve"> Распределительная коробка с/у для твердых стен 102х36 карболит IP30 У-192 Systeme Electric (56)</t>
  </si>
  <si>
    <t>030300014_</t>
  </si>
  <si>
    <t xml:space="preserve"> Установочная коробка для полых стен г/к  65х45 IMT35150 Systeme Electric (210)</t>
  </si>
  <si>
    <t>030200193_</t>
  </si>
  <si>
    <t xml:space="preserve"> Установочная коробка для полых стен г/к  65х60 IMT35151 System Electric(120)</t>
  </si>
  <si>
    <t>030201459_</t>
  </si>
  <si>
    <t xml:space="preserve"> Установочная коробка для твердых стен 65х45 IMT35100 Systeme Electric (200)</t>
  </si>
  <si>
    <t>030200192_</t>
  </si>
  <si>
    <t xml:space="preserve"> Установочная коробка для твердых стен 65х60 IMT35101 Systeme Electric (120)</t>
  </si>
  <si>
    <t>030200201_</t>
  </si>
  <si>
    <t>A398 Роз. с з/к 16А с/у б/рамки "ATLAS" алюминий ATN343 (10)</t>
  </si>
  <si>
    <t>300200428_</t>
  </si>
  <si>
    <t>AtlasDesign PROFI IP54 О/У 1-клавишный кнопочный ВЫКЛЮЧАТЕЛЬ 10 АХ, АНТРАЦИТ !!!</t>
  </si>
  <si>
    <t>ATN544015</t>
  </si>
  <si>
    <t>AtlasDesign PROFI IP54 О/У 1-клавишный кнопочный ВЫКЛЮЧАТЕЛЬ 10 АХ, БЕЛЫЙ !!!</t>
  </si>
  <si>
    <t>ATN540115</t>
  </si>
  <si>
    <t>ATLASDESIGN РОЗЕТКА 16А c 2 USB A+C, 5В/2,4А/3,0А, 2х5В/1,5А, механизм, ШАМПАНЬ</t>
  </si>
  <si>
    <t>ATN000532</t>
  </si>
  <si>
    <t>ATLASDESIGN РОЗЕТКА 16А с 2 USB A+C, 5В/2,4А/3,0А, 2х5В/1,5А, механизм, ПЕСОЧНЫЙ !!!</t>
  </si>
  <si>
    <t>ATN001232</t>
  </si>
  <si>
    <t>B001 Выкл 1кл о/у  10А 250B"BLANCA" антрацит BLNVA101006 (15)</t>
  </si>
  <si>
    <t>300201148_</t>
  </si>
  <si>
    <t>B002 Выкл 2 кл о/у 10А 250B "BLANCA" антрацит BLNVA105016 (15)</t>
  </si>
  <si>
    <t>300201149_</t>
  </si>
  <si>
    <t>B003 Роз. о/у без з/к без ш/т 16А 250В "BLANCA" антрацит BLNRA000116 (18)</t>
  </si>
  <si>
    <t>300201150_</t>
  </si>
  <si>
    <t>B004 Роз. 2-ная о/у без з/к без ш/т 16А 250В "BLANCA" антрацит BLNRA000216 (10)</t>
  </si>
  <si>
    <t>300201151_</t>
  </si>
  <si>
    <t>B005 Роз. 3-ная о/у без з/к без ш/т16А 250В "BLANCA" антрацит BLNRA000316 (6)</t>
  </si>
  <si>
    <t>300201152_</t>
  </si>
  <si>
    <t>B006 Роз. 3-ная о/у с  з/к без ш/т 16А 250В "BLANCA" антрацит BLNRA010316 (5)</t>
  </si>
  <si>
    <t>300201153_</t>
  </si>
  <si>
    <t>B007 Роз. 4-ная о/у без  з/к без ш/т 16А 250В "BLANCA" антрацит BLNRA000416 (5)</t>
  </si>
  <si>
    <t>300201154_</t>
  </si>
  <si>
    <t>B008 Роз. 4-ная о/у с  з/к со ш/т 16А 250В "BLANCA" антрацит BLNRA011416 (4)</t>
  </si>
  <si>
    <t>300201155_</t>
  </si>
  <si>
    <t>B009 Роз. о/у с з/к без ш/т 16А 250В "BLANCA" антрацит BLNRA010116 (12)</t>
  </si>
  <si>
    <t>300200968_</t>
  </si>
  <si>
    <t>B010 Роз. 2-ная о/у с з/к без ш/т 16А 250В "BLANCA" антрацит BLNRA010216 (8)</t>
  </si>
  <si>
    <t>300200967_</t>
  </si>
  <si>
    <t>Blanca Силовой Комплект О/У 2К+3 32А, 250В розетка, вилка, подъем.коробка</t>
  </si>
  <si>
    <t>300200413_</t>
  </si>
  <si>
    <t>City  9 ЩРВ-П 12 Прозрач./дв. Systeme Electric</t>
  </si>
  <si>
    <t>010400436_</t>
  </si>
  <si>
    <t>City 9 ЩРВ-П  8 Прозрач./дв. Systeme Electric</t>
  </si>
  <si>
    <t>010400432_</t>
  </si>
  <si>
    <t>City 9 ЩРВ-П 18 Прозрач./дв. Systeme Electric</t>
  </si>
  <si>
    <t>010400440_</t>
  </si>
  <si>
    <t>City 9 ЩРВ-П 24 Прозрач./дв. Systeme Electric</t>
  </si>
  <si>
    <t>010400444_</t>
  </si>
  <si>
    <t>City 9 ЩРВ-П 36 Прозрач./дв. Systeme Electric</t>
  </si>
  <si>
    <t>010400447_</t>
  </si>
  <si>
    <t>City 9 ЩРН-П  8 Прозрач./дв. Systeme Electric</t>
  </si>
  <si>
    <t>010400433_</t>
  </si>
  <si>
    <t>City 9 ЩРН-П 12 Прозрач./дв. Systeme Electric</t>
  </si>
  <si>
    <t>010400437_</t>
  </si>
  <si>
    <t>City 9 ЩРН-П 18 Прозрач./дв. Systeme Electric</t>
  </si>
  <si>
    <t>010400441_</t>
  </si>
  <si>
    <t>City 9 ЩРН-П 24 Прозрач./дв. Systeme Electric</t>
  </si>
  <si>
    <t>010400445_</t>
  </si>
  <si>
    <t>City 9 ЩРН-П 36 Прозрач./дв. Systeme Electric</t>
  </si>
  <si>
    <t>010400448_</t>
  </si>
  <si>
    <t>G001 Роз. с з/к 16А механизм "ARTGALLERY" алюминий GAL0343 (10)</t>
  </si>
  <si>
    <t>300200784_</t>
  </si>
  <si>
    <t>G002 Выкл. 1 кл 10А "ARTGALLERY" алюминий GAL0311 (10)</t>
  </si>
  <si>
    <t>300200785_</t>
  </si>
  <si>
    <t>G003 Выкл. 1 кл с инд 10А механизм "ARTGALLERY" алюминий GAL0313 (10)</t>
  </si>
  <si>
    <t>300200786_</t>
  </si>
  <si>
    <t>G004 Выкл. 2 кл 10А механизм "ARTGALLERY" алюминий GAL0351 (10)</t>
  </si>
  <si>
    <t>300200787_</t>
  </si>
  <si>
    <t>G005 Выкл. 2 кл с инд 10А механизм "ARTGALLERY" алюминий GAL0353 (10)</t>
  </si>
  <si>
    <t>300200788_</t>
  </si>
  <si>
    <t>G006 Роз. комп. RJ45 6A механизм "ARTGALLERY" алюминий GAL0386 (5)</t>
  </si>
  <si>
    <t>300200789_</t>
  </si>
  <si>
    <t>G007 Переключ. 1 кл механизм "ARTGALLERY" алюминий GAL0361 (10)</t>
  </si>
  <si>
    <t>300200790_</t>
  </si>
  <si>
    <t>G008 Перекрест. переключ. 1 кл "ARTGALLERY" алюминий GAL0371 (5)</t>
  </si>
  <si>
    <t>300200791_</t>
  </si>
  <si>
    <t>G009 Роз. 2-ная комп. RJ45+RJ45 6A механизм "ARTGALLERY" алюминий GAL0388 (1)</t>
  </si>
  <si>
    <t>300200792_</t>
  </si>
  <si>
    <t>G010 Роз. с з/к с/ш 16A механизм "ARTGALLERY" алюминий GAL0345 (10)</t>
  </si>
  <si>
    <t>300200793_</t>
  </si>
  <si>
    <t>G011 Роз. TV оконечная механизм "ARTGALLERY" алюминий GAL0391 (5)</t>
  </si>
  <si>
    <t>300200794_</t>
  </si>
  <si>
    <t>G012 Рамка 1-ная "ARTGALLERY" алюминий GAL0301 (20)</t>
  </si>
  <si>
    <t>300200795_</t>
  </si>
  <si>
    <t>G013 Рамка 2-ная "ARTGALLERY" алюминий GAL0302 (10)</t>
  </si>
  <si>
    <t>300200796_</t>
  </si>
  <si>
    <t>G014 Рамка 3-ная "ARTGALLERY" алюминий GAL0303 (5)</t>
  </si>
  <si>
    <t>300200797_</t>
  </si>
  <si>
    <t>G015 Рамка 4-ная "ARTGALLERY" алюминий GAL0304 (5)</t>
  </si>
  <si>
    <t>300200798_</t>
  </si>
  <si>
    <t>G016 Рамка 5-ная "ARTGALLERY" алюминий GAL0305 (5)</t>
  </si>
  <si>
    <t>300200799_</t>
  </si>
  <si>
    <t>G017 Переключ. 2 кл механизм "ARTGALLERY" алюминий GAL0365 (10)</t>
  </si>
  <si>
    <t>300200800_</t>
  </si>
  <si>
    <t>G018 Рамка 1-ная IP44 "ARTGALLERY" алюминий GAL440301 (10)</t>
  </si>
  <si>
    <t>300200801_</t>
  </si>
  <si>
    <t>G019 Рамка 2-ная IP44 "ARTGALLERY" алюминий GAL440302 (5)</t>
  </si>
  <si>
    <t>300200802_</t>
  </si>
  <si>
    <t>G020 Роз. с з/к с/ш с крышкой 16A механизм IP44 "ARTGALLERY" алюминий GAL440346 (10)</t>
  </si>
  <si>
    <t>300200803_</t>
  </si>
  <si>
    <t>G021 Выкл. 1 кл кнопочный 10А механизм "ARTGALLERY" алюминий GAL0315 (5)</t>
  </si>
  <si>
    <t>300200804_</t>
  </si>
  <si>
    <t>G022 Вывод кабеля механизм "ARTGALLERY" алюминий GAL0399 (5)</t>
  </si>
  <si>
    <t>300200805_</t>
  </si>
  <si>
    <t>G023 Роз. 2-ная TV комп. RJ45 5Е "ARTGALLERY" алюминий GAL0389 (5)</t>
  </si>
  <si>
    <t>300200806_</t>
  </si>
  <si>
    <t>G024 Роз. USB A+C 45Вт высокоскор.заряд., механизм "ARTGALLERY" алюминий GAL0329 (1)</t>
  </si>
  <si>
    <t>300200807_</t>
  </si>
  <si>
    <t>G025 Диммер поворотно-нажимной механизм 400Вт "ARTGALLERY" алюминий GAL0323 (1)</t>
  </si>
  <si>
    <t>300200808_</t>
  </si>
  <si>
    <t>G026 Роз. с з/к с/ш LED 16A механизм IP20 "ARTGALLERY" алюминий GAL0346 (10)</t>
  </si>
  <si>
    <t>300200809_</t>
  </si>
  <si>
    <t>G027 Роз. с з/к механизм 16A "ARTGALLERY" шампань GAL0543 (10)</t>
  </si>
  <si>
    <t>300200810_</t>
  </si>
  <si>
    <t>G028 Роз. с з/к с/ш механизм "ARTGALLERY" шампань GAL0545 (10)</t>
  </si>
  <si>
    <t>300200811_</t>
  </si>
  <si>
    <t>G029 Выкл. 1 кл 10А "ARTGALLERY" шампань GAL0511 (10)</t>
  </si>
  <si>
    <t>300200812_</t>
  </si>
  <si>
    <t>G030 Выкл. 1 кл с инд 10А механизм "ARTGALLERY" шампань GAL0513 (10)</t>
  </si>
  <si>
    <t>300200813_</t>
  </si>
  <si>
    <t>G031 Выкл. 2 кл 10А механизм "ARTGALLERY" шампань GAL0551 (10)</t>
  </si>
  <si>
    <t>300200814_</t>
  </si>
  <si>
    <t>G032 Выкл. 2 кл с инд 10А механизм "ARTGALLERY" шампань GAL0553 (10)</t>
  </si>
  <si>
    <t>300200815_</t>
  </si>
  <si>
    <t>G033 Роз. комп. RJ45, 6A механизм "ARTGALLERY" шампань GAL0586 (5)</t>
  </si>
  <si>
    <t>300200816_</t>
  </si>
  <si>
    <t>G034 Переключ. 1 кл механизм "ARTGALLERY" шампань GAL0561 (10)</t>
  </si>
  <si>
    <t>300200817_</t>
  </si>
  <si>
    <t>G035 Перекрест. переключ. 1 кл "ARTGALLERY" шампань GAL0571 (5)</t>
  </si>
  <si>
    <t>300200818_</t>
  </si>
  <si>
    <t>G036 Роз. 2-ная комп. RJ45+RJ45 6A механизм "ARTGALLERY" шампань GAL0588 (1)</t>
  </si>
  <si>
    <t>300200819_</t>
  </si>
  <si>
    <t>G037 Роз. TV оконечная 1DB механизм "ARTGALLERY" шампань GAL0591 (5)</t>
  </si>
  <si>
    <t>300200820_</t>
  </si>
  <si>
    <t>G038 Рамка 1-ная "ARTGALLERY" шампань GAL0501 (20)</t>
  </si>
  <si>
    <t>300200821_</t>
  </si>
  <si>
    <t>G039 Рамка 2-ная "ARTGALLERY" шампань GAL0502 (10)</t>
  </si>
  <si>
    <t>300200822_</t>
  </si>
  <si>
    <t>G040 Рамка 3-ная "ARTGALLERY" шампань GAL0503 (5)</t>
  </si>
  <si>
    <t>300200823_</t>
  </si>
  <si>
    <t>G041 Рамка 4-ная "ARTGALLERY" шампань GAL0504 (5)</t>
  </si>
  <si>
    <t>300200824_</t>
  </si>
  <si>
    <t>G042 Рамка 5-ная "ARTGALLERY" шампань GAL0505 (5)</t>
  </si>
  <si>
    <t>300200825_</t>
  </si>
  <si>
    <t>G043 Переключ. 2 кл механизм "ARTGALLERY" шампань GAL0565 (10)</t>
  </si>
  <si>
    <t>300200826_</t>
  </si>
  <si>
    <t>G044 Выкл. 1 кл кнопочный 10А механизм "ARTGALLERY" шампань GAL0515 (5)</t>
  </si>
  <si>
    <t>300200827_</t>
  </si>
  <si>
    <t>G045 Вывод кабеля механизм "ARTGALLERY" шампань GAL0599 (5)</t>
  </si>
  <si>
    <t>300200828_</t>
  </si>
  <si>
    <t>G046 Роз. 2-ная TV комп. RJ45 5Е "ARTGALLERY" шампань GAL0589 (5)</t>
  </si>
  <si>
    <t>300200829_</t>
  </si>
  <si>
    <t>G047 Роз. USB A+C 45Вт высокоскор.заряд., механизм "ARTGALLERY" шампань GAL0529 (1)</t>
  </si>
  <si>
    <t>300200830_</t>
  </si>
  <si>
    <t>G048 Диммер поворотно-нажимной механизм 400Вт "ARTGALLERY" шампань GAL0523 (1)</t>
  </si>
  <si>
    <t>300200831_</t>
  </si>
  <si>
    <t>G049 Роз. с з/к с/ш с крышкой 16А механизм IP20 "ARTGALLERY" шампань GAL0546 (10)</t>
  </si>
  <si>
    <t>300200832_</t>
  </si>
  <si>
    <t>G050 Выкл. 1 кл 10А "ARTGALLERY" лотос GAL1311 (5)</t>
  </si>
  <si>
    <t>300200833_</t>
  </si>
  <si>
    <t>G051 Выкл. 1 кл с инд 10А механизм "ARTGALLERY" лотос GAL1313 (5)</t>
  </si>
  <si>
    <t>300200834_</t>
  </si>
  <si>
    <t>G052 Выкл. 2 кл 10А механизм "ARTGALLERY" лотос GAL1351 (5)</t>
  </si>
  <si>
    <t>300200835_</t>
  </si>
  <si>
    <t>G053 Выкл. 2 кл с инд 10А механизм "ARTGALLERY" лотос GAL1353 (5)</t>
  </si>
  <si>
    <t>300200836_</t>
  </si>
  <si>
    <t>G054 Диммер поворотно-нажимной механизм 400Вт "ARTGALLERY" лотос GAL1323 (1)</t>
  </si>
  <si>
    <t>300200837_</t>
  </si>
  <si>
    <t>G055 Роз. комп. RJ45 6A механизм "ARTGALLERY" лотос GAL1386 (5)</t>
  </si>
  <si>
    <t>300200838_</t>
  </si>
  <si>
    <t>G056 Переключ. 1 кл механизм "ARTGALLERY" лотос GAL1361 (5)</t>
  </si>
  <si>
    <t>300200839_</t>
  </si>
  <si>
    <t>G057 Перекрест. переключ. 1 кл "ARTGALLERY" лотос GAL1371 (5)</t>
  </si>
  <si>
    <t>300200840_</t>
  </si>
  <si>
    <t>G058 Роз. 2-ная комп. RJ45+RJ45 6A механизм "ARTGALLERY" лотос GAL1388 (1)</t>
  </si>
  <si>
    <t>300200841_</t>
  </si>
  <si>
    <t>G059 Роз. с з/к 16А механизм "ARTGALLERY" лотос GAL1343 (5)</t>
  </si>
  <si>
    <t>300200842_</t>
  </si>
  <si>
    <t>G060 Роз. с з/к с/ш 16А механизм "ARTGALLERY" лотос GAL1345 (5)</t>
  </si>
  <si>
    <t>300200843_</t>
  </si>
  <si>
    <t>G061 Роз. с з/к с/ш с крышкой 16А механизм IP20 "ARTGALLERY" лотос GAL1346 (5)</t>
  </si>
  <si>
    <t>300200844_</t>
  </si>
  <si>
    <t>G062 Роз. TV оконечная механизм "ARTGALLERY" лотос GAL1391 (5)</t>
  </si>
  <si>
    <t>300200845_</t>
  </si>
  <si>
    <t>G063 Рамка 1-ная "ARTGALLERY" лотос GAL1301 (10)</t>
  </si>
  <si>
    <t>300200846_</t>
  </si>
  <si>
    <t>G064 Рамка 2-ная "ARTGALLERY" лотос GAL1302 (5)</t>
  </si>
  <si>
    <t>300200847_</t>
  </si>
  <si>
    <t>G065 Рамка 3-ная "ARTGALLERY" лотос GAL1303 (5)</t>
  </si>
  <si>
    <t>300200848_</t>
  </si>
  <si>
    <t>G066 Рамка 4-ная "ARTGALLERY" лотос GAL1304 (5)</t>
  </si>
  <si>
    <t>300200849_</t>
  </si>
  <si>
    <t>G067 Рамка 5-ная "ARTGALLERY" лотос GAL1305 (5)</t>
  </si>
  <si>
    <t>300200850_</t>
  </si>
  <si>
    <t>G068 Переключ. 2 кл механизм "ARTGALLERY" лотос GAL1365 (5)</t>
  </si>
  <si>
    <t>300200851_</t>
  </si>
  <si>
    <t>G069 Выкл. 1 кл кнопочный 10А механизм "ARTGALLERY" лотос GAL1315 (5)</t>
  </si>
  <si>
    <t>300200852_</t>
  </si>
  <si>
    <t>G070 Вывод кабеля механизм "ARTGALLERY" лотос GAL1399 (5)</t>
  </si>
  <si>
    <t>300200853_</t>
  </si>
  <si>
    <t>G071 Роз. 2-ная TV комп. RJ45 5Е "ARTGALLERY" лотос GAL1389 (5)</t>
  </si>
  <si>
    <t>300200854_</t>
  </si>
  <si>
    <t>G072 Роз. USB A+C 45Вт высокоскор.заряд., механизм "ARTGALLERY" лотос GAL1329 (1)</t>
  </si>
  <si>
    <t>300200855_</t>
  </si>
  <si>
    <t>G073 Роз. с з/к 16А механизм "ARTGALLERY" карбон GAL1043 (5)</t>
  </si>
  <si>
    <t>300200856_</t>
  </si>
  <si>
    <t>G074 Выкл. 1 кл 10А "ARTGALLERY" карбон GAL1011 (5)</t>
  </si>
  <si>
    <t>300200857_</t>
  </si>
  <si>
    <t>G075 Выкл. 1 кл с инд 10А механизм "ARTGALLERY" карбон GAL1013 (5)</t>
  </si>
  <si>
    <t>300200858_</t>
  </si>
  <si>
    <t>G076 Выкл. 2 кл 10А механизм "ARTGALLERY" карбон GAL1051 (5)</t>
  </si>
  <si>
    <t>300200859_</t>
  </si>
  <si>
    <t>G077 Выкл. 2 кл с инд 10А механизм "ARTGALLERY" карбон GAL1053 (5)</t>
  </si>
  <si>
    <t>300200860_</t>
  </si>
  <si>
    <t>G078 Роз. комп. RJ45 6A механизм "ARTGALLERY" карбон GAL1086 (5)</t>
  </si>
  <si>
    <t>300200861_</t>
  </si>
  <si>
    <t>G079 Переключ. 1 кл механизм "ARTGALLERY" карбон GAL1061 (5)</t>
  </si>
  <si>
    <t>300200862_</t>
  </si>
  <si>
    <t>G080 Перекрест. переключ. 1 кл "ARTGALLERY" карбон GAL1071 (5)</t>
  </si>
  <si>
    <t>300200863_</t>
  </si>
  <si>
    <t>G081 Роз. 2-ная комп. RJ45+RJ45 6A механизм "ARTGALLERY" карбон GAL1088 (1)</t>
  </si>
  <si>
    <t>300200864_</t>
  </si>
  <si>
    <t>G082 Роз. с з/к с/ш 16А механизм "ARTGALLERY" карбон GAL1045 (5)</t>
  </si>
  <si>
    <t>300200865_</t>
  </si>
  <si>
    <t>G083 Роз. с з/к с/ш с крышкой 16А механизм IP20 "ARTGALLERY" карбон GAL1046 (5)</t>
  </si>
  <si>
    <t>300200866_</t>
  </si>
  <si>
    <t>G084 Роз. TV оконечная механизм "ARTGALLERY" карбон GAL1091 (5)</t>
  </si>
  <si>
    <t>300200867_</t>
  </si>
  <si>
    <t>G085 Рамка 1-ная "ARTGALLERY" карбон GAL1001 (10)</t>
  </si>
  <si>
    <t>300200868_</t>
  </si>
  <si>
    <t>G086 Рамка 2-ная "ARTGALLERY" карбон GAL1002 (5)</t>
  </si>
  <si>
    <t>300200869_</t>
  </si>
  <si>
    <t>G087 Рамка 3-ная "ARTGALLERY" карбон GAL1003 (5)</t>
  </si>
  <si>
    <t>300200870_</t>
  </si>
  <si>
    <t>G088 Рамка 4-ная "ARTGALLERY" карбон GAL1004 (5)</t>
  </si>
  <si>
    <t>300200871_</t>
  </si>
  <si>
    <t>G089 Рамка 5-ная "ARTGALLERY" карбон GAL1005 (5)</t>
  </si>
  <si>
    <t>300200872_</t>
  </si>
  <si>
    <t>G090 Переключ. 2 кл механизм карбон GAL1065 (5)</t>
  </si>
  <si>
    <t>300200873_</t>
  </si>
  <si>
    <t>G091 Диммер поворотно-нажимной механизм 400Вт "ARTGALLERY" карбон GAL1023 (1)</t>
  </si>
  <si>
    <t>300200874_</t>
  </si>
  <si>
    <t>G092 Роз. с з/к с/ш с крышкой 16А механизм IP44 "ARTGALLERY" карбон GAL441046 (5)</t>
  </si>
  <si>
    <t>300200875_</t>
  </si>
  <si>
    <t>G093 Рамка 1-ная IP44 "ARTGALLERY" карбон GAL441001 (5)</t>
  </si>
  <si>
    <t>300200876_</t>
  </si>
  <si>
    <t>G094 Рамка 2-ная IP44 "ARTGALLERY" карбон GAL441002 (5)</t>
  </si>
  <si>
    <t>300200877_</t>
  </si>
  <si>
    <t>G095 Выкл. 1 кл кнопочный 10А механизм "ARTGALLERY" карбон GAL1015 (5)</t>
  </si>
  <si>
    <t>300200878_</t>
  </si>
  <si>
    <t>G096 Вывод кабеля механизм "ARTGALLERY" карбон    GAL1099 (5)</t>
  </si>
  <si>
    <t>300200879_</t>
  </si>
  <si>
    <t>G097 Роз. 2-ная TV комп. RJ45 5Е "ARTGALLERY" карбон GAL1089 (5)</t>
  </si>
  <si>
    <t>300200880_</t>
  </si>
  <si>
    <t>G098 Роз. USB A+C 45Вт высокоскор.заряд., механизм "ARTGALLERY" карбон GAL1029 (1)</t>
  </si>
  <si>
    <t>300200881_</t>
  </si>
  <si>
    <t>G099 Рамка 1-ная "ARTGALLERY" золото GAL1601 (5)</t>
  </si>
  <si>
    <t>300200882_</t>
  </si>
  <si>
    <t>G100 Рамка 2-ная "ARTGALLERY" золото GAL1602 (5)</t>
  </si>
  <si>
    <t>300200883_</t>
  </si>
  <si>
    <t>G101 Рамка 3-ная "ARTGALLERY" золото GAL1603 (5)</t>
  </si>
  <si>
    <t>300200884_</t>
  </si>
  <si>
    <t>G102 Рамка 4-ная "ARTGALLERY" золото GAL1604 (5)</t>
  </si>
  <si>
    <t>300200885_</t>
  </si>
  <si>
    <t>G103 Рамка 5-ная "ARTGALLERY" золото GAL1605 (5)</t>
  </si>
  <si>
    <t>300200886_</t>
  </si>
  <si>
    <t>G104 Роз. с з/к 16А механизм "ARTGALLERY" сталь GAL0943 (5)</t>
  </si>
  <si>
    <t>300200887_</t>
  </si>
  <si>
    <t>G105 Выкл. 1 кл 10А "ARTGALLERY" сталь GAL0911 (5)</t>
  </si>
  <si>
    <t>300200888_</t>
  </si>
  <si>
    <t>G106 Выкл. 1 кл с инд механизм "ARTGALLERY" сталь GAL0913 (5)</t>
  </si>
  <si>
    <t>300200889_</t>
  </si>
  <si>
    <t>G107 Выкл. 2 кл 10А механизм "ARTGALLERY" сталь GAL0951 (5)</t>
  </si>
  <si>
    <t>300200890_</t>
  </si>
  <si>
    <t>G109 Роз. комп. RJ45 6A механизм "ARTGALLERY" сталь GAL0986 (5)</t>
  </si>
  <si>
    <t>300200892_</t>
  </si>
  <si>
    <t>G110 Переключ. 1 кл механизм "ARTGALLERY" сталь GAL0961 (5)</t>
  </si>
  <si>
    <t>300200893_</t>
  </si>
  <si>
    <t>G111 Перекрест. переключ. 1 кл "ARTGALLERY" сталь GAL0971 (5)</t>
  </si>
  <si>
    <t>300200894_</t>
  </si>
  <si>
    <t>G112 Роз. 2-ная комп. RJ45+RJ45 6А механизм "ARTGALLERY" сталь GAL0988 (1)</t>
  </si>
  <si>
    <t>300200895_</t>
  </si>
  <si>
    <t>G113 Роз. с з/к с/ш 16А механизм "ARTGALLERY" сталь GAL0945 (5)</t>
  </si>
  <si>
    <t>300200896_</t>
  </si>
  <si>
    <t>G114 Роз. TV оконечная механизм "ARTGALLERY" сталь GAL0991 (5)</t>
  </si>
  <si>
    <t>300200897_</t>
  </si>
  <si>
    <t>G115 Рамка 1-ная "ARTGALLERY" сталь GAL0901 (10)</t>
  </si>
  <si>
    <t>300200898_</t>
  </si>
  <si>
    <t>G116 Рамка 2-ная "ARTGALLERY" сталь GAL0902 (5)</t>
  </si>
  <si>
    <t>300200899_</t>
  </si>
  <si>
    <t>G117 Рамка 3-ная "ARTGALLERY" сталь GAL0903 (5)</t>
  </si>
  <si>
    <t>300200900_</t>
  </si>
  <si>
    <t>G118 Рамка 4-ная "ARTGALLERY" сталь GAL0904 (5)</t>
  </si>
  <si>
    <t>300200901_</t>
  </si>
  <si>
    <t>G119 Рамка 5-ная "ARTGALLERY" сталь GAL0905 (5)</t>
  </si>
  <si>
    <t>300200902_</t>
  </si>
  <si>
    <t>G120 Переключ. 2 кл механизм "ARTGALLERY" сталь GAL0965 (5)</t>
  </si>
  <si>
    <t>300200903_</t>
  </si>
  <si>
    <t>G121 Выкл. 1 кл кнопочный 10А механизм "ARTGALLERY" сталь GAL0915 (5)</t>
  </si>
  <si>
    <t>300200904_</t>
  </si>
  <si>
    <t>G122 Вывод кабеля механизм "ARTGALLERY" сталь    GAL0999 (5)</t>
  </si>
  <si>
    <t>300200905_</t>
  </si>
  <si>
    <t>G123 Роз. 2-ная TV комп. RJ45 5Е "ARTGALLERY" сталь GAL0989 (5)</t>
  </si>
  <si>
    <t>300200906_</t>
  </si>
  <si>
    <t>G124 Роз. USB A+C 45Вт высокоскор.заряд., механизм "ARTGALLERY" сталь GAL0929 (1)</t>
  </si>
  <si>
    <t>300200907_</t>
  </si>
  <si>
    <t>G125 Диммер поворотно-нажимной механизм 400Вт "ARTGALLERY" сталь GAL0923 (1)</t>
  </si>
  <si>
    <t>300200908_</t>
  </si>
  <si>
    <t>G126 Роз. с з/к с/ш с крышкой 16А механизм IP20 "ARTGALLERY" сталь GAL0946 (5)</t>
  </si>
  <si>
    <t>300200909_</t>
  </si>
  <si>
    <t>G127 Роз. с з/к 16А механизм "ARTGALLERY" мокко GAL0643 (10)</t>
  </si>
  <si>
    <t>300200910_</t>
  </si>
  <si>
    <t>G128 Роз. с з/к с/ш 16А механизм "ARTGALLERY" мокко GAL0645 (10)</t>
  </si>
  <si>
    <t>300200911_</t>
  </si>
  <si>
    <t>G129 Выкл. 1 кл 10А "ARTGALLERY" мокко GAL0611 (10)</t>
  </si>
  <si>
    <t>300200912_</t>
  </si>
  <si>
    <t>G130 Выкл. 1 кл с инд 10А механизм "ARTGALLERY" мокко GAL0613 (10)</t>
  </si>
  <si>
    <t>300200913_</t>
  </si>
  <si>
    <t>G131 Выкл. 2 кл 10А механизм "ARTGALLERY" мокко GAL0651 (10)</t>
  </si>
  <si>
    <t>300200914_</t>
  </si>
  <si>
    <t>G132 Выкл. 2 кл с инд 10А механизм "ARTGALLERY" мокко GAL0653 (10)</t>
  </si>
  <si>
    <t>300200915_</t>
  </si>
  <si>
    <t>G133 Роз. комп. RJ45 6A механизм, "ARTGALLERY" мокко GAL0686 (5)</t>
  </si>
  <si>
    <t>300200916_</t>
  </si>
  <si>
    <t>G134 Переключ. 1 кл механизм "ARTGALLERY" мокко GAL0661 (10)</t>
  </si>
  <si>
    <t>300200917_</t>
  </si>
  <si>
    <t>G135 Перекрест. переключ. 1 кл "ARTGALLERY" мокко GAL0671 (5)</t>
  </si>
  <si>
    <t>300200918_</t>
  </si>
  <si>
    <t>G136 Роз. 2-ная комп. RJ45+RJ45 6А механизм "ARTGALLERY" мокко GAL0688 (1)</t>
  </si>
  <si>
    <t>300200919_</t>
  </si>
  <si>
    <t>G137 Роз. TV оконечная механизм "ARTGALLERY" мокко GAL0691 (5)</t>
  </si>
  <si>
    <t>300200920_</t>
  </si>
  <si>
    <t>G138 Рамка 1-ная "ARTGALLERY" мокко GAL0601 (20)</t>
  </si>
  <si>
    <t>300200921_</t>
  </si>
  <si>
    <t>G139 Рамка 2-ная "ARTGALLERY" мокко GAL0602 (10)</t>
  </si>
  <si>
    <t>300200922_</t>
  </si>
  <si>
    <t>G140 Рамка 3-ная "ARTGALLERY" мокко GAL0603 (5)</t>
  </si>
  <si>
    <t>300200923_</t>
  </si>
  <si>
    <t>G141 Рамка 4-ная "ARTGALLERY" мокко GAL0604 (5)</t>
  </si>
  <si>
    <t>300200924_</t>
  </si>
  <si>
    <t>G142 Рамка 5-ная "ARTGALLERY" мокко GAL0605 (5)</t>
  </si>
  <si>
    <t>300200925_</t>
  </si>
  <si>
    <t>G143 Переключ. 2 кл механизм "ARTGALLERY" мокко GAL0665 (10)</t>
  </si>
  <si>
    <t>300200926_</t>
  </si>
  <si>
    <t>G144 Выкл. 1 кл кнопочный 10А механизм "ARTGALLERY" мокко GAL0615 (5)</t>
  </si>
  <si>
    <t>300200927_</t>
  </si>
  <si>
    <t>G145 Вывод кабеля механизм "ARTGALLERY" мокко GAL0699 (5)</t>
  </si>
  <si>
    <t>300200928_</t>
  </si>
  <si>
    <t>G146 Роз. 2-ная TV комп. RJ45 5Е "ARTGALLERY" мокко GAL0689 (5)</t>
  </si>
  <si>
    <t>300200929_</t>
  </si>
  <si>
    <t>G147 Роз. USB A+C 45Вт высокоскор.заряд., механизм "ARTGALLERY" мокко GAL0629 (1)</t>
  </si>
  <si>
    <t>300200930_</t>
  </si>
  <si>
    <t>G148 Диммер поворотно-нажимной механизм 400Вт "ARTGALLERY" мокко GAL0623 (1)</t>
  </si>
  <si>
    <t>300200931_</t>
  </si>
  <si>
    <t>G149 Роз. с з/к с/ш с крышкой 16А механизм IP20 "ARTGALLERY" мокко GAL0646 (10)</t>
  </si>
  <si>
    <t>300200932_</t>
  </si>
  <si>
    <t>G150 Роз. с з/к 16А механизм "ARTGALLERY" базальт GAL1443 (5)</t>
  </si>
  <si>
    <t>300200933_</t>
  </si>
  <si>
    <t>G151 Выкл. 1 кл 10А "ARTGALLERY" базальт GAL1411 (5)</t>
  </si>
  <si>
    <t>300200934_</t>
  </si>
  <si>
    <t>G152 Выкл. 1 кл с инд 10А механизм "ARTGALLERY" базальт GAL1413 (5)</t>
  </si>
  <si>
    <t>300200935_</t>
  </si>
  <si>
    <t>G153 Выкл. 2 кл 10А механизм "ARTGALLERY" базальт GAL1451 (5)</t>
  </si>
  <si>
    <t>300200936_</t>
  </si>
  <si>
    <t>G154 Выкл. 2 кл с инд 10А механизм "ARTGALLERY" базальт GAL1453 (5)</t>
  </si>
  <si>
    <t>300200937_</t>
  </si>
  <si>
    <t>G155 Роз. комп. RJ45 6A механизм "ARTGALLERY" базальт GAL1486 (5)</t>
  </si>
  <si>
    <t>300200938_</t>
  </si>
  <si>
    <t>G156 Переключ. 1 кл механизм "ARTGALLERY" базальт GAL1461 (5)</t>
  </si>
  <si>
    <t>300200939_</t>
  </si>
  <si>
    <t>G157 Перекрест. переключ. 1 кл "ARTGALLERY" базальт GAL1471 (5)</t>
  </si>
  <si>
    <t>300200940_</t>
  </si>
  <si>
    <t>G158 Роз. 2-ная комп. RJ45+RJ45 6A механизм "ARTGALLERY" базальт GAL1488 (1)</t>
  </si>
  <si>
    <t>300200941_</t>
  </si>
  <si>
    <t>G159 Роз. с з/к с/ш 16А механизм "ARTGALLERY" базальт GAL1445 (5)</t>
  </si>
  <si>
    <t>300200942_</t>
  </si>
  <si>
    <t>G160 Роз. с з/к с/ш с крышкой 16А механизм IP20 "ARTGALLERY" базальт GAL1446 (5)</t>
  </si>
  <si>
    <t>300200943_</t>
  </si>
  <si>
    <t>G161 Роз. TV оконечная 1DB механизм "ARTGALLERY" базальт GAL1491 (5)</t>
  </si>
  <si>
    <t>300200944_</t>
  </si>
  <si>
    <t>G162 Рамка 1-ная "ARTGALLERY" базальт GAL1401 (10)</t>
  </si>
  <si>
    <t>300200945_</t>
  </si>
  <si>
    <t>G163 Рамка 2-ная "ARTGALLERY" базальт GAL1402 (5)</t>
  </si>
  <si>
    <t>300200946_</t>
  </si>
  <si>
    <t>G164 Рамка 3-ная "ARTGALLERY" базальт GAL1403 (5)</t>
  </si>
  <si>
    <t>300200947_</t>
  </si>
  <si>
    <t>G165 Рамка 4-ная "ARTGALLERY" базальт GAL1404 (5)</t>
  </si>
  <si>
    <t>300200948_</t>
  </si>
  <si>
    <t>G166 Рамка 5-ная "ARTGALLERY" базальт GAL1405 (5)</t>
  </si>
  <si>
    <t>300200949_</t>
  </si>
  <si>
    <t>G167 Переключ. 2 кл механизм "ARTGALLERY" базальт GAL1465 (5)</t>
  </si>
  <si>
    <t>300200950_</t>
  </si>
  <si>
    <t>G168 Диммер поворотно-нажимной механизм 400Вт "ARTGALLERY" базальт GAL1423 (1)</t>
  </si>
  <si>
    <t>300200951_</t>
  </si>
  <si>
    <t>G169 Выкл. 1 кл кнопочный 10А механизм "ARTGALLERY" базальт GAL1415 (5)</t>
  </si>
  <si>
    <t>300200952_</t>
  </si>
  <si>
    <t>G170 Вывод кабеля механизм "ARTGALLERY" базальт GAL1499 (5)</t>
  </si>
  <si>
    <t>300200953_</t>
  </si>
  <si>
    <t>G171 Роз. 2-ная TV комп. RJ45 5Е "ARTGALLERY" базальт GAL1489 (5)</t>
  </si>
  <si>
    <t>300200954_</t>
  </si>
  <si>
    <t>G172 Роз. USB A+C 45Вт высокоскор.заряд., механизм "ARTGALLERY" базальт GAL1429 (1)</t>
  </si>
  <si>
    <t>300200955_</t>
  </si>
  <si>
    <t>G384 Выкл 1 кл 10А с/у "ATLAS" жемчуг ATN412 (10)</t>
  </si>
  <si>
    <t>300200371_</t>
  </si>
  <si>
    <t>G385 Выкл 1 кл с инд 10А с/у б/рамки "ATLAS" жемчуг ATN413 (10)</t>
  </si>
  <si>
    <t>300200420_</t>
  </si>
  <si>
    <t>G386 Выкл 2 кл 10А с/у "ATLAS" жемчуг ATN452 (10)</t>
  </si>
  <si>
    <t>300200375_</t>
  </si>
  <si>
    <t>G387 Выкл 2 кл с инд 10А с/у б/рамки "ATLAS" жемчуг ATN453 (10)</t>
  </si>
  <si>
    <t>300200422_</t>
  </si>
  <si>
    <t>G388 Выкл 3 кл 10А с/у б/рамки "ATLAS" жемчуг ATN431 (10)</t>
  </si>
  <si>
    <t>300200363_</t>
  </si>
  <si>
    <t>G390 Комп. роз. RJ45 5Е механизм б/рамки "ATLAS" жемчуг ATN483 (10)</t>
  </si>
  <si>
    <t>300200368_</t>
  </si>
  <si>
    <t>G391 Переключ. 1 кл 10А с/у б/рамки "ATLAS" жемчуг ATN461 (10)</t>
  </si>
  <si>
    <t>300200367_</t>
  </si>
  <si>
    <t>G392 Переключ. 1 кл с инд 10А с/у б/рамки  "ATLAS" жемчуг ATN463 (10)</t>
  </si>
  <si>
    <t>300200426_</t>
  </si>
  <si>
    <t>G393 Перекрест.переключ. 1 кл 10А с/у б/рамки "ATLAS" жемчуг ATN471 (5)</t>
  </si>
  <si>
    <t>300200424_</t>
  </si>
  <si>
    <t>G394 Роз. 2-ная с/у 16А "ATLAS" жемчуг ATN420 (6)</t>
  </si>
  <si>
    <t>300200372_</t>
  </si>
  <si>
    <t>G395 Роз. 2-ная с/у 16А с з/к з/ш "ATLAS" жемчуг ATN426 (6)</t>
  </si>
  <si>
    <t>300200373_</t>
  </si>
  <si>
    <t>G397 Роз. RJ45+RJ45 5Е кат 5Е механизм б/рамки "ATLAS" жемчуг ATN485 (10)</t>
  </si>
  <si>
    <t>300200418_</t>
  </si>
  <si>
    <t>G398 Роз. с з/к 16А с/у б/рамки "ATLAS" жемчуг ATN443 (10)</t>
  </si>
  <si>
    <t>300200365_</t>
  </si>
  <si>
    <t>G3988 Роз. без з/к без с/ш 16А б/рамки "ATLAS" жемчуг ATN441 (10) NEW</t>
  </si>
  <si>
    <t>300200364_</t>
  </si>
  <si>
    <t>G399 Роз. с з/к 16А с/у з/ш "ATLAS" жемчуг ATN444 (10)</t>
  </si>
  <si>
    <t>300200374_</t>
  </si>
  <si>
    <t>G401 ТV роз. оконечная с/у б/рамки "ATLAS" жемчуг ATN491  (10)</t>
  </si>
  <si>
    <t>300200370_</t>
  </si>
  <si>
    <t>G402 Телефонная роз. RJ11 механизм б/рамки "ATLAS" жемчуг ATN481 (10)</t>
  </si>
  <si>
    <t>300200425_</t>
  </si>
  <si>
    <t>G404 USB розетка - 2 порта с/у б/рамки "ATLAS" жемчуг ATN433 (1) !!!</t>
  </si>
  <si>
    <t>300200419_</t>
  </si>
  <si>
    <t>G405 Рамка 1-ная "ATLAS" жемчуг  ATN401 (20)</t>
  </si>
  <si>
    <t>300200376_</t>
  </si>
  <si>
    <t>G406 Рамка 2-ная "ATLAS" жемчуг ATN402 (10)</t>
  </si>
  <si>
    <t>300200377_</t>
  </si>
  <si>
    <t>G407 Рамка 3-ная "ATLAS" жемчуг ATN403 (15)</t>
  </si>
  <si>
    <t>300200378_</t>
  </si>
  <si>
    <t>G408 Рамка 4-ная "ATLAS" жемчуг ATN404 (15)</t>
  </si>
  <si>
    <t>300200379_</t>
  </si>
  <si>
    <t>G409 Рамка 5-ная "ATLAS" жемчуг ATN405 (5)</t>
  </si>
  <si>
    <t>300200380_</t>
  </si>
  <si>
    <t>G414 Переключ. 2 кл 10А с/у б/рамки "ATLAS" жемчуг ATN465 (10)</t>
  </si>
  <si>
    <t>300200421_</t>
  </si>
  <si>
    <t>GLOSSA 2-клавишный ВЫКЛЮЧАТЕЛЬ, сх.5, 10АХ, механизм, БЕЛЫЙ</t>
  </si>
  <si>
    <t>щщщ0116254</t>
  </si>
  <si>
    <t>K001 Роз. с з/к 16А с/у б/рамки "ATLAS" СТАЛЬ ATN943 (5)</t>
  </si>
  <si>
    <t>300200520_</t>
  </si>
  <si>
    <t>K002 Выкл 1 кл 10А с/у "ATLAS" СТАЛЬ ATN912 (5) NEW</t>
  </si>
  <si>
    <t>300200521_</t>
  </si>
  <si>
    <t>K003 Выкл 1 кл с инд 10А с/у б/рамки "ATLAS" СТАЛЬ ATN913 (5)</t>
  </si>
  <si>
    <t>300200522_</t>
  </si>
  <si>
    <t>K004 Выкл 2 кл 10А с/у "ATLAS" СТАЛЬ ATN952 (5) NEW</t>
  </si>
  <si>
    <t>300200523_</t>
  </si>
  <si>
    <t>K005 Выкл 2 кл с инд 10А с/у б/рамки "ATLAS" СТАЛЬ ATN953 (5)</t>
  </si>
  <si>
    <t>300200524_</t>
  </si>
  <si>
    <t>K006 Выкл 3 кл 10А с/у б/рамки "ATLAS" СТАЛЬ ATN931 (5)</t>
  </si>
  <si>
    <t>300200525_</t>
  </si>
  <si>
    <t>K007 Комп. роз. RJ45 5Е механизм б/рамки "ATLAS" СТАЛЬ ATN983 (5)</t>
  </si>
  <si>
    <t>300200526_</t>
  </si>
  <si>
    <t>K008 Переключ. 1 кл 10А с/у б/рамки "ATLAS" СТАЛЬ ATN961 (5)</t>
  </si>
  <si>
    <t>300200527_</t>
  </si>
  <si>
    <t>K010 Перекрест.переключ. 1 кл 10А с/у б/рамки "ATLAS" СТАЛЬ ATN971 (2)</t>
  </si>
  <si>
    <t>300200529_</t>
  </si>
  <si>
    <t>K011 Роз. 2-ная с/у 16А "ATLAS" СТАЛЬ ATN920 (6)</t>
  </si>
  <si>
    <t>300200530_</t>
  </si>
  <si>
    <t>K012 Роз. 2-ная с/у 16А с з/к з/ш "ATLAS" СТАЛЬ ATN926 (6)</t>
  </si>
  <si>
    <t>300200531_</t>
  </si>
  <si>
    <t>K013 Роз. RJ45+RJ45 5Е кат 5Е механизм б/рамки "ATLAS" СТАЛЬ ATN985 (5)</t>
  </si>
  <si>
    <t>300200532_</t>
  </si>
  <si>
    <t>K014 Роз. с з/к 16А с/у з/ш "ATLAS" СТАЛЬ ATN944 (5)</t>
  </si>
  <si>
    <t>300200533_</t>
  </si>
  <si>
    <t>K015 ТV роз. оконечная с/у б/рамки "ATLAS" СТАЛЬ ATN991(5)</t>
  </si>
  <si>
    <t>300200534_</t>
  </si>
  <si>
    <t>K016 Телефонная роз. RJ11 механизм б/рамки "ATLAS" СТАЛЬ ATN981 (5)</t>
  </si>
  <si>
    <t>300200535_</t>
  </si>
  <si>
    <t>K017 Рамка 1-ная "ATLAS" СТАЛЬ ATN901 (5)</t>
  </si>
  <si>
    <t>300200536_</t>
  </si>
  <si>
    <t>K018 Рамка 2-ная "ATLAS" СТАЛЬ ATN902 (5)</t>
  </si>
  <si>
    <t>300200537_</t>
  </si>
  <si>
    <t>K019 Рамка 3-ная "ATLAS" СТАЛЬ ATN903 (2)</t>
  </si>
  <si>
    <t>300200538_</t>
  </si>
  <si>
    <t>K020 Рамка 4-ная "ATLAS" СТАЛЬ ATN904 (2)</t>
  </si>
  <si>
    <t>300200539_</t>
  </si>
  <si>
    <t>K021 Рамка 5-ная "ATLAS" СТАЛЬ ATN905 (2)</t>
  </si>
  <si>
    <t>300200540_</t>
  </si>
  <si>
    <t>K022 Переключ. 2 кл 10А с/у б/рамки "ATLAS" СТАЛЬ ATN965 (5)</t>
  </si>
  <si>
    <t>300200541_</t>
  </si>
  <si>
    <t>K023 Роз. с з/к 16А с/у б/рамки "ATLAS" ШАМПАНЬ ATN543 (10)</t>
  </si>
  <si>
    <t>300200542_</t>
  </si>
  <si>
    <t>K0233 Роз. с з/к с з/ш, 16А, механизм "ATLAS" ШАМПАНЬ ATN545 (10)</t>
  </si>
  <si>
    <t>300200624_</t>
  </si>
  <si>
    <t>K02333 Роз. без з/к без с/ш 16А мех. "ATLAS" ШАМПАНЬ ATN541 (10) NEW</t>
  </si>
  <si>
    <t>300200704_</t>
  </si>
  <si>
    <t>K024 Выкл 1 кл 10А с/у "ATLAS" ШАМПАНЬ ATN512 (10)</t>
  </si>
  <si>
    <t>300200543_</t>
  </si>
  <si>
    <t>K025 Выкл 1 кл с инд 10А с/у б/рамки "ATLAS" ШАМПАНЬ ATN513 (10)</t>
  </si>
  <si>
    <t>300200544_</t>
  </si>
  <si>
    <t>K026 Выкл 2 кл 10А с/у "ATLAS" ШАМПАНЬ ATN552 (10)</t>
  </si>
  <si>
    <t>300200545_</t>
  </si>
  <si>
    <t>K0266 Выкл. 2 кл 10А б/рамки "ATLAS" ШАМПАНЬ ATN551 (10) NEW</t>
  </si>
  <si>
    <t>300200593_</t>
  </si>
  <si>
    <t>K027 Выкл 2 кл с инд 10А с/у б/рамки "ATLAS" ШАМПАНЬ ATN553 (10)</t>
  </si>
  <si>
    <t>300200546_</t>
  </si>
  <si>
    <t>K028 Выкл 3 кл 10А с/у б/рамки "ATLAS" ШАМПАНЬ ATN531 (10)</t>
  </si>
  <si>
    <t>300200547_</t>
  </si>
  <si>
    <t>K029 Комп. роз. RJ45 5Е механизм б/рамки "ATLAS" ШАМПАНЬ ATN583 (10)</t>
  </si>
  <si>
    <t>300200548_</t>
  </si>
  <si>
    <t>K030 Переключ. 1 кл 10А с/у б/рамки "ATLAS" ШАМПАНЬ ATN561 (10)</t>
  </si>
  <si>
    <t>300200549_</t>
  </si>
  <si>
    <t>K031 Переключ. 1 кл с инд 10А с/у б/рамки  "ATLAS" ШАМПАНЬ ATN563  (10)</t>
  </si>
  <si>
    <t>300200550_</t>
  </si>
  <si>
    <t>K032 Перекрест.переключ. 1 кл 10А с/у б/рамки "ATLAS" ШАМПАНЬ ATN571 (5)</t>
  </si>
  <si>
    <t>300200551_</t>
  </si>
  <si>
    <t>K0322 Перекрест. перекл. 2 кл 10А с/у б/рамки "ATLAS" ШАМПАНЬ ATN573 (5) NEW</t>
  </si>
  <si>
    <t>300200773_</t>
  </si>
  <si>
    <t>K033 Роз. 2-ная с/у 16А "ATLAS" ШАМПАНЬ ATN520 (6)</t>
  </si>
  <si>
    <t>300200552_</t>
  </si>
  <si>
    <t>K034 Роз. 2-ная с/у 16А с з/к з/ш "ATLAS" ШАМПАНЬ ATN526 (6)</t>
  </si>
  <si>
    <t>300200553_</t>
  </si>
  <si>
    <t>K035 Роз. RJ45+RJ45 5Е кат 5Е механизм б/рамки "ATLAS" ШАМПАНЬ ATN585 (10)</t>
  </si>
  <si>
    <t>300200554_</t>
  </si>
  <si>
    <t>K036 Роз. с з/к 16А с/у з/ш "ATLAS" ШАМПАНЬ ATN544 (10)</t>
  </si>
  <si>
    <t>300200555_</t>
  </si>
  <si>
    <t>K037 ТV роз. оконечная с/у б/рамки "ATLAS" ШАМПАНЬ ATN591(10)</t>
  </si>
  <si>
    <t>300200556_</t>
  </si>
  <si>
    <t>K038 Телефонная роз. RJ11 механизм б/рамки "ATLAS" ШАМПАНЬ ATN581 (10)</t>
  </si>
  <si>
    <t>300200557_</t>
  </si>
  <si>
    <t>K039 Рамка 1-ная "ATLAS" ШАМПАНЬ ATN501 (10)</t>
  </si>
  <si>
    <t>300200558_</t>
  </si>
  <si>
    <t>K040 Рамка 2-ная "ATLAS" ШАМПАНЬ ATN502 (10)</t>
  </si>
  <si>
    <t>300200559_</t>
  </si>
  <si>
    <t>K041 Рамка 3-ная "ATLAS" ШАМПАНЬ ATN503 (15)</t>
  </si>
  <si>
    <t>300200560_</t>
  </si>
  <si>
    <t>K042 Рамка 4-ная "ATLAS" ШАМПАНЬ ATN504 (15)</t>
  </si>
  <si>
    <t>300200561_</t>
  </si>
  <si>
    <t>K043 Рамка 5-ная "ATLAS" ШАМПАНЬ ATN505 (5)</t>
  </si>
  <si>
    <t>300200562_</t>
  </si>
  <si>
    <t>K044 Переключ. 2 кл 10А с/у б/рамки "ATLAS" ШАМПАНЬ ATN565 (10)</t>
  </si>
  <si>
    <t>300200563_</t>
  </si>
  <si>
    <t>K045 Роз. с з/к 16А с/у б/рамки "ATLAS" ГРИФЕЛЬ ATN743 (10)</t>
  </si>
  <si>
    <t>300200564_</t>
  </si>
  <si>
    <t>K046 Выкл 1 кл 10А с/у "ATLAS" ГРИФЕЛЬ ATN712 (10)</t>
  </si>
  <si>
    <t>300200565_</t>
  </si>
  <si>
    <t>K0461 Выкл. 1-кл 10А с/у б/рамки "ATLAS" ГРИФЕЛЬ ATN711 (10) NEW</t>
  </si>
  <si>
    <t>300200590_</t>
  </si>
  <si>
    <t>K047 Выкл 1 кл с инд 10А с/у б/рамки "ATLAS" ГРИФЕЛЬ ATN713 (10)</t>
  </si>
  <si>
    <t>300200566_</t>
  </si>
  <si>
    <t>K048 Выкл 2 кл 10А с/у "ATLAS" ГРИФЕЛЬ ATN752 (10)</t>
  </si>
  <si>
    <t>300200567_</t>
  </si>
  <si>
    <t>K0488 Выкл 2-кл 10А механизм "ATLAS" ГРИФЕЛЬ ATN751 (10)</t>
  </si>
  <si>
    <t>300200591_</t>
  </si>
  <si>
    <t>K049 Выкл 2 кл с инд 10А с/у б/рамки "ATLAS" ГРИФЕЛЬ ATN753 (10)</t>
  </si>
  <si>
    <t>300200568_</t>
  </si>
  <si>
    <t>K050 Выкл 3 кл 10А с/у б/рамки "ATLAS" ГРИФЕЛЬ ATN731 (10)</t>
  </si>
  <si>
    <t>300200569_</t>
  </si>
  <si>
    <t>K051 Комп. роз. RJ45 5Е механизм б/рамки "ATLAS" ГРИФЕЛЬ ATN783 (10)</t>
  </si>
  <si>
    <t>300200570_</t>
  </si>
  <si>
    <t>K052 Переключ. 1 кл 10А с/у б/рамки "ATLAS" ГРИФЕЛЬ ATN761 (10)</t>
  </si>
  <si>
    <t>300200571_</t>
  </si>
  <si>
    <t>K053 Переключ. 1 кл с инд 10А с/у б/рамки  "ATLAS" ГРИФЕЛЬ ATN763  (10)</t>
  </si>
  <si>
    <t>300200572_</t>
  </si>
  <si>
    <t>K054 Перекрест.переключ. 1 кл 10А с/у б/рамки "ATLAS" ГРИФЕЛЬ ATN771 (5)</t>
  </si>
  <si>
    <t>300200573_</t>
  </si>
  <si>
    <t>K055 Роз. 2-ная с/у 16А "ATLAS" ГРИФЕЛЬ ATN720 (6)</t>
  </si>
  <si>
    <t>300200574_</t>
  </si>
  <si>
    <t>K056 Роз. 2-ная с/у 16А с з/к з/ш "ATLAS" ГРИФЕЛЬ ATN726 (6)</t>
  </si>
  <si>
    <t>300200575_</t>
  </si>
  <si>
    <t>K057 Роз. RJ45+RJ45 5Е кат 5Е механизм б/рамки "ATLAS" ГРИФЕЛЬ ATN785 (10)</t>
  </si>
  <si>
    <t>300200511_</t>
  </si>
  <si>
    <t>K058 Роз. с з/к 16А с/у з/ш "ATLAS" ГРИФЕЛЬ ATN744 (10)</t>
  </si>
  <si>
    <t>300200576_</t>
  </si>
  <si>
    <t>K0588 Роз. без з/к без з/ш б/рамки 16А "ATLAS" ГРИФЕЛЬ ATN741   (10) NEW</t>
  </si>
  <si>
    <t>300200776_</t>
  </si>
  <si>
    <t>K059 ТV роз. оконечная с/у б/рамки "ATLAS" ГРИФЕЛЬ ATN791 (10)</t>
  </si>
  <si>
    <t>300200577_</t>
  </si>
  <si>
    <t>K061 Рамка 1-ная "ATLAS" ГРИФЕЛЬ ATN701 (10)</t>
  </si>
  <si>
    <t>300200579_</t>
  </si>
  <si>
    <t>K062 Рамка 2-ная "ATLAS" ГРИФЕЛЬ ATN702 (10)</t>
  </si>
  <si>
    <t>300200580_</t>
  </si>
  <si>
    <t>K063 Рамка 3-ная "ATLAS" ГРИФЕЛЬ ATN703 (15)</t>
  </si>
  <si>
    <t>300200581_</t>
  </si>
  <si>
    <t>K064 Рамка 4-ная "ATLAS" ГРИФЕЛЬ ATN704 (15)</t>
  </si>
  <si>
    <t>300200582_</t>
  </si>
  <si>
    <t>K065 Рамка 5-ная "ATLAS" ГРИФЕЛЬ ATN705 (5)</t>
  </si>
  <si>
    <t>300200583_</t>
  </si>
  <si>
    <t>K066 Переключ. 2 кл 10А с/у б/рамки "ATLAS" ГРИФЕЛЬ ATN765 (10)</t>
  </si>
  <si>
    <t>300200584_</t>
  </si>
  <si>
    <t>K067 Роз. с з/к 16А с/у б/рамки "ATLAS" КАРБОН ATN1043 (5)</t>
  </si>
  <si>
    <t>300200343_</t>
  </si>
  <si>
    <t>K0677 Роз. без з/к без шторок, 16А, механизм "ATLAS" КАРБОН ATN1041 (10)</t>
  </si>
  <si>
    <t>020100163_</t>
  </si>
  <si>
    <t>K068 Выкл 1 кл 10А с/у "ATLAS" КАРБОН ATN1012 (5)</t>
  </si>
  <si>
    <t>300200459_</t>
  </si>
  <si>
    <t>K0688 Выкл 1 кл 10А механизм "ATLAS" КАРБОН ATN1011 (5)</t>
  </si>
  <si>
    <t>020100158_</t>
  </si>
  <si>
    <t>K069 Выкл 1 кл с инд 10А с/у б/рамки "ATLAS" КАРБОН - ATN1013</t>
  </si>
  <si>
    <t>020100159_</t>
  </si>
  <si>
    <t>K070 Выкл 2 кл 10А с/у "ATLAS" КАРБОН ATN1052 (5)</t>
  </si>
  <si>
    <t>300200460_</t>
  </si>
  <si>
    <t>K0700 Выкл 2 кл 10А механизм "ATLAS" КАРБОН ATN1051 (5)</t>
  </si>
  <si>
    <t>020100160_</t>
  </si>
  <si>
    <t>K071 Выкл 2 кл с инд 10А с/у б/рамки "ATLAS" КАРБОН  - ATN1053</t>
  </si>
  <si>
    <t>020100161_</t>
  </si>
  <si>
    <t>K072 Выкл 3 кл 10А с/у б/рамки "ATLAS" КАРБОН  ATN1031</t>
  </si>
  <si>
    <t>300200461_</t>
  </si>
  <si>
    <t>K074 Комп. роз. RJ45 5Е механизм б/рамки "ATLAS" КАРБОН ATN1083 (5)</t>
  </si>
  <si>
    <t>300200472_</t>
  </si>
  <si>
    <t>K075 Переключ. 1 кл 10А с/у б/рамки "ATLAS" КАРБОН ATN1061 (5)</t>
  </si>
  <si>
    <t>300200462_</t>
  </si>
  <si>
    <t>K076 Переключ. 1 кл с инд 10А с/у б/рамки  "ATLAS" КАРБОН ATN1063 (2)</t>
  </si>
  <si>
    <t>300200517_</t>
  </si>
  <si>
    <t>K077 Перекрест.переключ. 1 кл 10А с/у б/рамки "ATLAS", КАРБОН -  ATN1071 (2)</t>
  </si>
  <si>
    <t>020100162_</t>
  </si>
  <si>
    <t>K0777 Перекрест. перекл. 2 кл 10А с/у б/рамки мех. "ATLAS" КАРБОН ATN1073   (5) NEW</t>
  </si>
  <si>
    <t>300200772_</t>
  </si>
  <si>
    <t>K078 Роз. 2-ная с/у 16А "ATLAS" КАРБОН ATN1020 (6)</t>
  </si>
  <si>
    <t>300200468_</t>
  </si>
  <si>
    <t>K079 Роз. 2-ная с/у 16А с з/к з/ш "ATLAS" КАРБОН ATN1026 (6)</t>
  </si>
  <si>
    <t>300200515_</t>
  </si>
  <si>
    <t>K080 Роз. RJ45+RJ45 5Е кат 5Е механизм б/рамки "ATLAS" КАРБОН ATN1085 (5)</t>
  </si>
  <si>
    <t>300200518_</t>
  </si>
  <si>
    <t>K081 Роз. с з/к 16А с/у з/ш "ATLAS" КАРБОН ATN1044 (5)</t>
  </si>
  <si>
    <t>300200516_</t>
  </si>
  <si>
    <t>K082 ТV роз. оконечная с/у б/рамки "ATLAS" КАРБОН ATN1091</t>
  </si>
  <si>
    <t>300200471_</t>
  </si>
  <si>
    <t>K083 Телефонная роз. RJ11 механизм б/рамки "ATLAS" КАРБОН ATN1081</t>
  </si>
  <si>
    <t>300200470_</t>
  </si>
  <si>
    <t>K084 Рамка 1-ая "ATLAS" КАРБОН ATN1001 (10)</t>
  </si>
  <si>
    <t>300200463_</t>
  </si>
  <si>
    <t>K085 Рамка 2-ая "ATLAS" КАРБОН ATN1002 (5)</t>
  </si>
  <si>
    <t>300200464_</t>
  </si>
  <si>
    <t>K086 Рамка 3-ая "ATLAS" КАРБОН ATN1003 (15)</t>
  </si>
  <si>
    <t>300200465_</t>
  </si>
  <si>
    <t>K087 Рамка 4-ая "ATLAS" КАРБОН ATN1004</t>
  </si>
  <si>
    <t>300200466_</t>
  </si>
  <si>
    <t>K088 Рамка 5-ая "ATLAS" КАРБОН ATN1005</t>
  </si>
  <si>
    <t>300200467_</t>
  </si>
  <si>
    <t>K089 Переключ. 2 кл 10А с/у б/рамки "ATLAS" КАРБОН ATN1065 (5)</t>
  </si>
  <si>
    <t>300200519_</t>
  </si>
  <si>
    <t>K090 Диммер повортно нажимной мех. LED RC 400Вт "ATLAS" КАРБОН ATN1023 (1) NEW</t>
  </si>
  <si>
    <t>300200775_</t>
  </si>
  <si>
    <t>K091 Выкл. AQUA 2 кл IP44 мех. "ATLAS" КАРБОН ATN441051   (5) NEW</t>
  </si>
  <si>
    <t>300200781_</t>
  </si>
  <si>
    <t>K093 Роз. AQUA с з/к с ш/т 16А с крышкой IP44 механизам "ATLAS" КАРБОН ATN441046 (10) NEW</t>
  </si>
  <si>
    <t>300200779_</t>
  </si>
  <si>
    <t>K094 Рамка 1-ная AQUA IP44 "ATLAS" КАРБОН ATN441001     (10) NEW</t>
  </si>
  <si>
    <t>300200782_</t>
  </si>
  <si>
    <t>K095 Рамка 2-ная AQUA IP44 "ATLAS" КАРБОН ATN441002     (5) NEW</t>
  </si>
  <si>
    <t>300200783_</t>
  </si>
  <si>
    <t>S197 Рамка 1-ная   "Wessen 59" (90) !!!</t>
  </si>
  <si>
    <t>300100015_</t>
  </si>
  <si>
    <t>S198 Рамка 2-ная   "Wessen 59" (60) !!!</t>
  </si>
  <si>
    <t>300100006_</t>
  </si>
  <si>
    <t>S199 Рамка 3-ная "Wessen 59" (15/60) !!!</t>
  </si>
  <si>
    <t>300100003_</t>
  </si>
  <si>
    <t>S200 Рамка 4-ная  "Wessen 59" (15/60) !!!</t>
  </si>
  <si>
    <t>300100012_</t>
  </si>
  <si>
    <t>S231 1кл с/у. 6А IP20 "Прима" ВС 16-057-б (96) !!!</t>
  </si>
  <si>
    <t>030200006_</t>
  </si>
  <si>
    <t>S232 2кл с/у. 6А IP20 "Прима" ВС 56-043-б (96) !!!</t>
  </si>
  <si>
    <t>030200008_</t>
  </si>
  <si>
    <t>S233 1кл. инд.с/у 6А IP20 "Прима" ВС 16-053-б (96) !!!</t>
  </si>
  <si>
    <t>030200005_</t>
  </si>
  <si>
    <t>S234 2кл.инд.с/у 6А IP20 "Прима" ВС 56-039-б (96) !!!</t>
  </si>
  <si>
    <t>030200007_</t>
  </si>
  <si>
    <t>S236 с/у з/к.з/ш.16А IP20 "Прима" РС 16-004-б (81) !!!</t>
  </si>
  <si>
    <t>030200015_</t>
  </si>
  <si>
    <t>S239 1кл о/у. 6А IP20  "Прима" ВА 16-051-б (130) !!!</t>
  </si>
  <si>
    <t>030200002_</t>
  </si>
  <si>
    <t>S242 2кл.инд  о/у 6А IP20  "Прима" ВА 56-007-б (130) !!!</t>
  </si>
  <si>
    <t>030200003_</t>
  </si>
  <si>
    <t>S243 о\у 10А IP20  "Прима" РА 10-164-б (168) !!!</t>
  </si>
  <si>
    <t>030200009_</t>
  </si>
  <si>
    <t>S248 с/у. 6А IP20 "ХИТ" ВС 16-133-б (96) !!!</t>
  </si>
  <si>
    <t>030200030_</t>
  </si>
  <si>
    <t>S249 2кл. с/у. 6А IP20 "ХИТ" ВС 56-234-б (96)  !!!</t>
  </si>
  <si>
    <t>030200031_</t>
  </si>
  <si>
    <t>S250 с/у 10А IP20  "ХИТ" РС 10-132-б / 10-135-б (114)  !!!</t>
  </si>
  <si>
    <t>030200036_</t>
  </si>
  <si>
    <t>S251 с/у.з/к 16А  IP20  "ХИТ" РС 16-134-б (81) !!!</t>
  </si>
  <si>
    <t>030200038_</t>
  </si>
  <si>
    <t>S252 2-я с/у 10А IP20  "ХИТ"  РС 16-235-б / 16-230-б (80) !!!</t>
  </si>
  <si>
    <t>030200037_</t>
  </si>
  <si>
    <t>S253 2-я с/у.з/к 16А IP20 "ХИТ" РС 16-236-б  (68) !!!</t>
  </si>
  <si>
    <t>030200039_</t>
  </si>
  <si>
    <t>S254 о/у. 6А IP20  "ХИТ" ВА 16-131-б (168) !!!</t>
  </si>
  <si>
    <t>030200028_</t>
  </si>
  <si>
    <t>S255 2кл.о/у. 6А IP20 "ХИТ" ВА 56-232-б (168) !!!</t>
  </si>
  <si>
    <t>030200029_</t>
  </si>
  <si>
    <t>S256 о/у.10А IP20  "ХИТ" РА 10-131-б (168) !!!</t>
  </si>
  <si>
    <t>030200032_</t>
  </si>
  <si>
    <t>S257 о/у. з/к 16А IP20  "ХИТ"  РА 16-133-б (132) !!!</t>
  </si>
  <si>
    <t>030200034_</t>
  </si>
  <si>
    <t>S258  2-я.о/у. 10А IP20 "ХИТ" РА 16-237I-б / РА 16-233I-б (112) !!!</t>
  </si>
  <si>
    <t>030200239_</t>
  </si>
  <si>
    <t>S259 2-я. о/у.з/к.16А IP20 "ХИТ" РА 16-238I-б (84) !!!</t>
  </si>
  <si>
    <t>030200240_</t>
  </si>
  <si>
    <t>S266 1кл с/у инд 10А "Wessen 59" ВС 110-153-18 (10/60) !!!</t>
  </si>
  <si>
    <t>030200379_</t>
  </si>
  <si>
    <t>S283 о/у. 6А IP44 "Рондо" ВА 66-102Б-би переключатель (10/60) !!!</t>
  </si>
  <si>
    <t>030200026_</t>
  </si>
  <si>
    <t>S284 2кл. о/у 6А IP44  "Рондо" ВА 56-225Б-би (10/60) !!!</t>
  </si>
  <si>
    <t>030200025_</t>
  </si>
  <si>
    <t>S285 с/у.з/к.з/ш 16А IP44 "Рондо" РС 16-126Б-би (10/60) !!!</t>
  </si>
  <si>
    <t>030200027_</t>
  </si>
  <si>
    <t>S286 о/у.з/ш. 10А IP44 "Рондо" РА 10-125Б-би (12/72) !!!</t>
  </si>
  <si>
    <t>030200052_</t>
  </si>
  <si>
    <t>S287 о/у.з/к.з/ш.16А IP44 "Рондо" РА 16-112Б-би (10/60) !!!</t>
  </si>
  <si>
    <t>030200053_</t>
  </si>
  <si>
    <t>S288 2-я.о/у. з/к.з/ш 16А IP44 "Рондо" РА 16-227Б-би (5/30) !!!</t>
  </si>
  <si>
    <t>030200054_</t>
  </si>
  <si>
    <t>S297  Розетка  2-ая с/у, з/ш ЭТЮД (120) РС16-006В !!!</t>
  </si>
  <si>
    <t>030200183_</t>
  </si>
  <si>
    <t>S310  Розетка IP44 с/у, з/к, з/ш ЭТЮД РС16-044В (120)</t>
  </si>
  <si>
    <t>030200191_</t>
  </si>
  <si>
    <t>S313  Выкл. 1-кл. с инд. о/у IP44 Белый ЭТЮД ВА10-045В (112)</t>
  </si>
  <si>
    <t>030200175_</t>
  </si>
  <si>
    <t>S315  Розетка 1-я о/у, з/ш, з/к IP44 Белая ЭТЮД РА16-044В (96)</t>
  </si>
  <si>
    <t>030200176_</t>
  </si>
  <si>
    <t>S360 Выкл 1 кл 10А с/у "GLOSSA" белый GSL112 (15)</t>
  </si>
  <si>
    <t>030200247_</t>
  </si>
  <si>
    <t>S361 Выкл 1 кл с инд 10А с/у б/рамки " белый GSL113 (20)</t>
  </si>
  <si>
    <t>030200246_</t>
  </si>
  <si>
    <t>S362 Выкл 2 кл 10А с/у "GLOSSA" белый GSL152 (15)</t>
  </si>
  <si>
    <t>030200243_</t>
  </si>
  <si>
    <t>S363 Выкл 2 кл с инд 10А с/у б/рамки "GLOSSA" белый GSL153 (20)</t>
  </si>
  <si>
    <t>030200244_</t>
  </si>
  <si>
    <t>S364 Выкл 3 кл 10А с/у б/рамки "GLOSSA" белый GSL131 (20)</t>
  </si>
  <si>
    <t>030200245_</t>
  </si>
  <si>
    <t>S365 Переключ. 1 кл 10А с/у б/рамки "GLOSSA" белый GSL161 (20)</t>
  </si>
  <si>
    <t>030200248_</t>
  </si>
  <si>
    <t>S366 Переключ. 1 кл с инд 10А с/у б/рамки "GLOSSA" белый GSL163 (20)</t>
  </si>
  <si>
    <t>030200249_</t>
  </si>
  <si>
    <t>S367 Роз. 2-ная с/у 16А "GLOSSA" белый GSL120 (15)</t>
  </si>
  <si>
    <t>030200259_</t>
  </si>
  <si>
    <t>S368 Роз. 2-ная с/у 16А с з/к з/ш "GLOSSA" белый GSL126 (10)</t>
  </si>
  <si>
    <t>030200260_</t>
  </si>
  <si>
    <t>S369 Роз. с з/к 16А с/у "GLOSSA" белый GSL142 (15)</t>
  </si>
  <si>
    <t>030200256_</t>
  </si>
  <si>
    <t>S370 Роз. с з/к 16А с/у з/ш "GLOSSA" белый GSL144 (15)</t>
  </si>
  <si>
    <t>030200257_</t>
  </si>
  <si>
    <t>S371 Роз. с з/к 16А с/у з/ш IP44 "GLOSSA" белый GSL148 (10)</t>
  </si>
  <si>
    <t>030200258_</t>
  </si>
  <si>
    <t>S374 Комп. роз. RJ45 5Е механизм б/рамки "GLOSSA" белый GSL181K (10)</t>
  </si>
  <si>
    <t>030200263_</t>
  </si>
  <si>
    <t>S375 Роз. RG11+RJ45 5Е кат 5Е механизм б/рамки "GLOSSA" белый GSL185 (10)</t>
  </si>
  <si>
    <t>030200262_</t>
  </si>
  <si>
    <t>S376 ТV роз. проход.с/у б/рамки "GLOSSA" белый GSL192 (10)</t>
  </si>
  <si>
    <t>030200265_</t>
  </si>
  <si>
    <t>S377 Телефонная роз. RJ11 механизм б/рамки "GLOSSA" белый GSL181T (10)</t>
  </si>
  <si>
    <t>030200261_</t>
  </si>
  <si>
    <t>S378 USB розетка - 2х5В/ 1050 мА с/у б/рамки "GLOSSA" белый GSL133 (1)</t>
  </si>
  <si>
    <t>030200292_</t>
  </si>
  <si>
    <t>S379 Рамка 1-ная "GLOSSA" белый GSL101 (45)</t>
  </si>
  <si>
    <t>030200250_</t>
  </si>
  <si>
    <t>S380 Рамка 2-ная "GLOSSA" белый GSL102 (30)</t>
  </si>
  <si>
    <t>030200251_</t>
  </si>
  <si>
    <t>S381 Рамка 3-ная "GLOSSA" белый GSL103 (15)</t>
  </si>
  <si>
    <t>030200252_</t>
  </si>
  <si>
    <t>S382 Рамка 4-ная "GLOSSA" белый GSL104 (15)</t>
  </si>
  <si>
    <t>030200253_</t>
  </si>
  <si>
    <t>S383 Рамка 5-ная "GLOSSA" белый GSL105 (5)</t>
  </si>
  <si>
    <t>030200254_</t>
  </si>
  <si>
    <t>S3833 Выкл 1 кл 10А с/у б/рамки "ATLAS" белый (20) ATN111</t>
  </si>
  <si>
    <t>300200331_</t>
  </si>
  <si>
    <t>S384 Выкл 1 кл 10А с/у "ATLAS" белый ATN112  (15)</t>
  </si>
  <si>
    <t>300200296_</t>
  </si>
  <si>
    <t>S385 Выкл 1 кл с инд 10А с/у б/рамки "ATLAS" белый ATN113 (20)</t>
  </si>
  <si>
    <t>300200283_</t>
  </si>
  <si>
    <t>S386 Выкл 2 кл 10А с/у "ATLAS" белый ATN152 (15)</t>
  </si>
  <si>
    <t>300200302_</t>
  </si>
  <si>
    <t>S3866 Выкл 2 кл 10А механизм "ATLAS" белый ATN151 (20)</t>
  </si>
  <si>
    <t>300200333_</t>
  </si>
  <si>
    <t>S387 Выкл 2 кл с инд 10А с/у б/рамки "ATLAS" белый ATN153 (20)</t>
  </si>
  <si>
    <t>300200288_</t>
  </si>
  <si>
    <t>S388 Выкл 3 кл 10А с/у б/рамки "ATLAS" белый ATN131 (20)</t>
  </si>
  <si>
    <t>300200284_</t>
  </si>
  <si>
    <t>S3899 Диммер поворотно-нажимной с/у б/рамки 400Вт "ATLAS" белый ATN123 (1)</t>
  </si>
  <si>
    <t>300200767_</t>
  </si>
  <si>
    <t>S390 Комп. роз. RJ45 5Е механизм б/рамки "ATLAS" белый ATN183 (10)</t>
  </si>
  <si>
    <t>300200293_</t>
  </si>
  <si>
    <t>S391 Переключ. 1 кл 10А с/у б/рамки "ATLAS" белый ATN161 (20)</t>
  </si>
  <si>
    <t>300200289_</t>
  </si>
  <si>
    <t>S392 Переключ. 1 кл с инд 10А с/у б/рамки  "ATLAS" белый ATN163 (20)</t>
  </si>
  <si>
    <t>300200290_</t>
  </si>
  <si>
    <t>S393 Перекрест.переключ. 1 кл 10А с/у б/рамки "ATLAS" белый ATN171 (5)</t>
  </si>
  <si>
    <t>300200291_</t>
  </si>
  <si>
    <t>S394 Роз. 2-ная с/у 16А "ATLAS" белый ATN120 (15)</t>
  </si>
  <si>
    <t>300200297_</t>
  </si>
  <si>
    <t>S395 Роз. 2-ная с/у 16А с з/к з/ш "ATLAS" белый ATN126 (10)</t>
  </si>
  <si>
    <t>300200298_</t>
  </si>
  <si>
    <t>S396 Роз. 2-ная с/у 16А с з/к з/ш со сдвиж.крыш."ATLAS" белый ATN128 (6)</t>
  </si>
  <si>
    <t>300200299_</t>
  </si>
  <si>
    <t>S397 Роз. RJ45+RJ45 5Е кат 5Е механизм б/рамки "ATLAS" белый ATN185 (10)</t>
  </si>
  <si>
    <t>300200294_</t>
  </si>
  <si>
    <t>S398 Роз. с з/к 16А с/у б/рамки "ATLAS" белый ATN143 (20)</t>
  </si>
  <si>
    <t>300200286_</t>
  </si>
  <si>
    <t>S3988 Роз. без з/к без шторок 16А механизм "ATLAS" белый ATN141 (20)</t>
  </si>
  <si>
    <t>300200332_</t>
  </si>
  <si>
    <t>S399 Роз. с з/к 16А с/у з/ш "ATLAS" белый ATN144 (15)</t>
  </si>
  <si>
    <t>300200301_</t>
  </si>
  <si>
    <t>S400 Роз. с з/к 16А с/у з/ш с выталкивателем б/рамки "ATLAS" белый ATN147 (15)</t>
  </si>
  <si>
    <t>300200287_</t>
  </si>
  <si>
    <t>S4000 Роз. с з/к 16А с/у з/ш с крышкой б/рамки"ATLAS" белый  ATN146 (15)</t>
  </si>
  <si>
    <t>300200700_</t>
  </si>
  <si>
    <t>S401 ТV роз. оконечная с/у б/рамки "ATLAS" белый ATN191 (10)</t>
  </si>
  <si>
    <t>300200295_</t>
  </si>
  <si>
    <t>S402 Телефонная роз. RJ11 механизм б/рамки "ATLAS" белый ATN181 (10)</t>
  </si>
  <si>
    <t>300200292_</t>
  </si>
  <si>
    <t>S403 ТЕРМОСТАТ для теп.пола с датч. с/у 16А "ATLAS" белый (1) ATN138</t>
  </si>
  <si>
    <t>300200300_</t>
  </si>
  <si>
    <t>S404 USB розетка - 2 порта с/у б/рамки "ATLAS" белый (1) ATL133</t>
  </si>
  <si>
    <t>300200312_</t>
  </si>
  <si>
    <t>S405 Рамка 1-ная "ATLAS" белый (45) ATN101</t>
  </si>
  <si>
    <t>300200303_</t>
  </si>
  <si>
    <t>S406 Рамка 2-ная "ATLAS" белый (30) ATN102</t>
  </si>
  <si>
    <t>300200304_</t>
  </si>
  <si>
    <t>S407 Рамка 3-ная "ATLAS" белый (15) ATN103</t>
  </si>
  <si>
    <t>300200305_</t>
  </si>
  <si>
    <t>S408 Рамка 4-ная "ATLAS" белый (15) ATN104</t>
  </si>
  <si>
    <t>300200306_</t>
  </si>
  <si>
    <t>S409 Рамка 5-ная "ATLAS" белый (5) ATN105</t>
  </si>
  <si>
    <t>300200307_</t>
  </si>
  <si>
    <t>S410 Переключ. AQUA 1 кл 10А с/у б/рамки IP 44 "ATLAS" белый ATN0161 (20)</t>
  </si>
  <si>
    <t>300200310_</t>
  </si>
  <si>
    <t>S411 Роз. AQUA с з/к 16А с/у з/ш c крышкой б/рамки IP 44 "ATLAS" белый ATN0146 (15)</t>
  </si>
  <si>
    <t>300200311_</t>
  </si>
  <si>
    <t>S412 Рамка 1-ная AQUA IP 44 "ATLAS" белый ATN0101 (10)</t>
  </si>
  <si>
    <t>300200308_</t>
  </si>
  <si>
    <t>S413 Рамка 2-ная AQUA IP 44 "ATLAS" белый ATN0102 (5)</t>
  </si>
  <si>
    <t>300200309_</t>
  </si>
  <si>
    <t>S414 Выкл 1 кл  с/у 6А 250B "BLANCA" белый BLNVS006101 (60)</t>
  </si>
  <si>
    <t>300200313_</t>
  </si>
  <si>
    <t>S414 Переключ. 2 кл 10А с/у б/рамки "ATLAS" белый ATN165 (20)</t>
  </si>
  <si>
    <t>300200498_</t>
  </si>
  <si>
    <t>S415 Адаптер 45 "ATLAS" белый ATN108  (15)</t>
  </si>
  <si>
    <t>ATN000108</t>
  </si>
  <si>
    <t>S415 Выкл 2 кл  с/у 6А 250B "BLANCA" белый BLNVS006501 (60)</t>
  </si>
  <si>
    <t>300200314_</t>
  </si>
  <si>
    <t>S416 Заглушка б/с "ATLAS" белый ATN109  (15)</t>
  </si>
  <si>
    <t>ATN000109</t>
  </si>
  <si>
    <t>S416 Роз  с/у без з/к 16А 250В "BLANCA"  белый BLNRS000011 (60)</t>
  </si>
  <si>
    <t>300200315_</t>
  </si>
  <si>
    <t>S417 Перекрест. перекл. 2 кл 10А с/у б/рамки мех. "ATLAS" белый ATN173   (5) NEW</t>
  </si>
  <si>
    <t>300200771_</t>
  </si>
  <si>
    <t>S417 Роз  2-ная  с/у без з/к 16А 250В "BLANCA"  белый BLNRS000021 (36)</t>
  </si>
  <si>
    <t>300200316_</t>
  </si>
  <si>
    <t>S418 Вывод кабеля механизм "ATLAS" белый ATN000199  (10)</t>
  </si>
  <si>
    <t>300200959_</t>
  </si>
  <si>
    <t>S418 Роз  с/у с з/к 16А 250В "BLANCA"  белый BLNRS001011 (60)</t>
  </si>
  <si>
    <t>300200317_</t>
  </si>
  <si>
    <t>S419 Выкл. 1 кл с самовозвр. механизм "ATLAS" белый ATN000115 (5)</t>
  </si>
  <si>
    <t>300200496_</t>
  </si>
  <si>
    <t>S419 Роз  с/у с з/к с штор. 16А 250В "BLANCA" белый BLNRS001111 (60)</t>
  </si>
  <si>
    <t>300200346_</t>
  </si>
  <si>
    <t>S420 Роз  2-ная  с/у с з/к 16А 250В "BLANCA"  белый BLNRS001021 (36)</t>
  </si>
  <si>
    <t>300200318_</t>
  </si>
  <si>
    <t>S421 Роз  2-ная  с/у с з/к с штор. 16А 250В "BLANCA" белый BLNRS001121 (36)</t>
  </si>
  <si>
    <t>300200347_</t>
  </si>
  <si>
    <t>S422 Выкл 1 кл  о/у 6А 250B ИЗОЛ.ПЛ. "BLANCA"  белый BLNVA061011 (90)</t>
  </si>
  <si>
    <t>300200319_</t>
  </si>
  <si>
    <t>S423 Выкл 2 кл  о/у 6А 250B ИЗОЛ.ПЛ. "BLANCA"  белый BLNVA065011 (90)</t>
  </si>
  <si>
    <t>300200320_</t>
  </si>
  <si>
    <t>S424 Роз  о/у без з/к 16А 250В ИЗОЛ.ПЛ. "BLANCA" белый BLNRA000111 (108)</t>
  </si>
  <si>
    <t>300200321_</t>
  </si>
  <si>
    <t>S425 Роз  2-ная  о/у без з/к 16А 250В ИЗОЛ.ПЛ. "BLANCA" белый BLNRA000211 (60)</t>
  </si>
  <si>
    <t>300200322_</t>
  </si>
  <si>
    <t>S426 Роз  о/у с з/к 16А 250В ИЗОЛ.ПЛ. "BLANCA" белый BLNRA010111 (72)</t>
  </si>
  <si>
    <t>300200323_</t>
  </si>
  <si>
    <t>S427 Роз  2-ная  о/у с з/к 16А 250В ИЗОЛ.ПЛ. "BLANCA" белый BLNRA010211 (48)</t>
  </si>
  <si>
    <t>300200324_</t>
  </si>
  <si>
    <t>S428 Роз 3-ная  о/у без з/к 16А 250В ИЗОЛ.ПЛ. "BLANCA" белый BLNRA000311 (36)</t>
  </si>
  <si>
    <t>300200325_</t>
  </si>
  <si>
    <t>S429 Роз 3-ная  о/у с з/к 16А 250В ИЗОЛ.ПЛ. "BLANCA" белый BLNRA010311 (30)</t>
  </si>
  <si>
    <t>300200326_</t>
  </si>
  <si>
    <t>S430 Роз 4-ная  о/у без з/к 16А 250В ИЗОЛ.ПЛ. "BLANCA" белый BLNRA000411 (30)</t>
  </si>
  <si>
    <t>300200327_</t>
  </si>
  <si>
    <t>S431 Роз 4-ная  о/у с з/к со штор. 16А 250В ИЗОЛ.ПЛ. "BLANCA" белый BLNRA011411 (24)</t>
  </si>
  <si>
    <t>300200328_</t>
  </si>
  <si>
    <t>S432 Звонок проводной  о/у "BLANCA" белый BLNZA000011 (48)</t>
  </si>
  <si>
    <t>300200330_</t>
  </si>
  <si>
    <t>S433 Роз  2-ная  с/у с з/к с крыш. IP44 16А 250B "BLANCA" белый BLNRS441121 (30)</t>
  </si>
  <si>
    <t>300200348_</t>
  </si>
  <si>
    <t>S434 Роз с/у компьютерная RJ45 кат.5Е "BLANCA" белый BLNIS045001 (60)</t>
  </si>
  <si>
    <t>300200350_</t>
  </si>
  <si>
    <t>S435 Роз TV коннектор "BLANCA" белый BLNTS000011  (60)</t>
  </si>
  <si>
    <t>300200352_</t>
  </si>
  <si>
    <t>А384 Выкл 1 кл 10А с/у "ATLAS" алюминий ATN312 (10)</t>
  </si>
  <si>
    <t>300200430_</t>
  </si>
  <si>
    <t>А3844 Выкл 1 кл 10А механизм "ATLAS" алюминий ATN311 (10)</t>
  </si>
  <si>
    <t>300200588_</t>
  </si>
  <si>
    <t>А385 Выкл 1 кл с инд 10А с/у б/рамки "ATLAS" алюминий ATN313  (10)</t>
  </si>
  <si>
    <t>300200443_</t>
  </si>
  <si>
    <t>А386 Выкл 2 кл 10А с/у "ATLAS" алюминий ATN352 (10)</t>
  </si>
  <si>
    <t>300200432_</t>
  </si>
  <si>
    <t>А387 Выкл 2 кл с инд 10А с/у б/рамки "ATLAS" алюминий ATN353 (10)</t>
  </si>
  <si>
    <t>300200444_</t>
  </si>
  <si>
    <t>А388 Выкл 3 кл 10А с/у б/рамки "ATLAS" алюминий ATN331 (10)</t>
  </si>
  <si>
    <t>300200449_</t>
  </si>
  <si>
    <t>А389 Диммер поворотно-нажимной с/у б/рамки 315Вт "ATLAS" алюминий ATN334 (1) !!!</t>
  </si>
  <si>
    <t>300200447_</t>
  </si>
  <si>
    <t>А390 Комп. роз. RJ45 5Е механизм б/рамки "ATLAS" алюминий ATN383 (10)</t>
  </si>
  <si>
    <t>300200433_</t>
  </si>
  <si>
    <t>А391 Переключ. 1 кл 10А с/у б/рамки "ATLAS" алюминий ATN361 (10)</t>
  </si>
  <si>
    <t>300200439_</t>
  </si>
  <si>
    <t>А392 Переключ. 1 кл с инд 10А с/у б/рамки  "ATLAS" алюминий ATN363  (10)</t>
  </si>
  <si>
    <t>300200451_</t>
  </si>
  <si>
    <t>А393 Перекрест. переключ. 1 кл 10А с/у б/рамки "ATLAS" алюминий ATN371 (5)</t>
  </si>
  <si>
    <t>300200448_</t>
  </si>
  <si>
    <t>А3933 Перекрест. переключ. 2 кл 10А с/у б/рамки "ATLAS" алюминий ATN373 (5) NEW</t>
  </si>
  <si>
    <t>300200774_</t>
  </si>
  <si>
    <t>А394 Роз. 2-ная с/у 16А "ATLAS" алюминий ATN320 (6)</t>
  </si>
  <si>
    <t>300200436_</t>
  </si>
  <si>
    <t>А395 Роз. 2-ная с/у 16А с з/к з/ш "ATLAS" алюминий ATN326 (6)</t>
  </si>
  <si>
    <t>300200431_</t>
  </si>
  <si>
    <t>А396 Роз. 2-ная с/у 16А с з/к з/ш со сдвиж.крыш."ATLAS" алюминий ATN328 (6)</t>
  </si>
  <si>
    <t>300200452_</t>
  </si>
  <si>
    <t>А397 Роз. RJ45+RJ45 5Е кат 5Е механизм б/рамки "ATLAS" алюминий ATN385 (10)</t>
  </si>
  <si>
    <t>300200434_</t>
  </si>
  <si>
    <t>А399 Роз. с з/к 16А с/у з/ш "ATLAS" алюминий ATN344 (10)</t>
  </si>
  <si>
    <t>300200429_</t>
  </si>
  <si>
    <t>А3999 Роз. без з/к без шторок 16А механизм "ATLAS" алюминий ATN341 (10)</t>
  </si>
  <si>
    <t>300200632_</t>
  </si>
  <si>
    <t>А401 ТV роз. оконечная с/у б/рамки "ATLAS" алюминий ATN391(10)</t>
  </si>
  <si>
    <t>300200441_</t>
  </si>
  <si>
    <t>А402 Телефонная роз. RJ11 механизм б/рамки "ATLAS" алюминий ATN381 (10)</t>
  </si>
  <si>
    <t>300200450_</t>
  </si>
  <si>
    <t>А405 Рамка 1-ная "ATLAS" алюминий ATN301 (20)</t>
  </si>
  <si>
    <t>300200435_</t>
  </si>
  <si>
    <t>А406 Рамка 2-ная "ATLAS" алюминий ATN302 (10)</t>
  </si>
  <si>
    <t>300200437_</t>
  </si>
  <si>
    <t>А407 Рамка 3-ная "ATLAS" алюминий ATN303 (15)</t>
  </si>
  <si>
    <t>300200438_</t>
  </si>
  <si>
    <t>А408 Рамка 4-ная "ATLAS" алюминий ATN304 (15)</t>
  </si>
  <si>
    <t>300200440_</t>
  </si>
  <si>
    <t>А409 Рамка 5-ная "ATLAS" алюминий ATN305 (5)</t>
  </si>
  <si>
    <t>300200445_</t>
  </si>
  <si>
    <t>А414 Переключ. 2 кл 10А с/у б/рамки "ATLAS" алюминий ATN365 (10)</t>
  </si>
  <si>
    <t>300200446_</t>
  </si>
  <si>
    <t>ВЫВОД КАБЕЛЯ, механизм "ATLAS" алюминий ATN399 !!!</t>
  </si>
  <si>
    <t>ATN000399</t>
  </si>
  <si>
    <t>Выкл 1-кл, сх.1, 10АХ, механизм, шампань "ATLAS"</t>
  </si>
  <si>
    <t>300200592_</t>
  </si>
  <si>
    <t>Выкл 2 кл 10А механизм жемчуг ATN000451</t>
  </si>
  <si>
    <t>300200366_</t>
  </si>
  <si>
    <t>Выкл 2 кл о/у 10А 250B белый BLANCA</t>
  </si>
  <si>
    <t>LNVA105011</t>
  </si>
  <si>
    <t>Выкл 2-кл, сх.5, 10АХ, механизм, сталь "ATLAS"</t>
  </si>
  <si>
    <t>300200595_</t>
  </si>
  <si>
    <t>ВЫКЛЮЧАТЕЛЬ "ХИТ"СУ 1КЛ. ИБЕЛ. VS16-135-B Shn.Elec. !!!</t>
  </si>
  <si>
    <t>030200097_</t>
  </si>
  <si>
    <t>К090 Роз. с з/к 16А с/у б/рамки ATLAS ПЕСОЧНЫЙ ATN1243 (5)</t>
  </si>
  <si>
    <t>300200718_</t>
  </si>
  <si>
    <t>К091 Роз. с з/к с з/ш 16А механизм ATLAS ПЕСОЧНЫЙ ATN1245 (5)</t>
  </si>
  <si>
    <t>300200719_</t>
  </si>
  <si>
    <t>К092 Выкл 1 кл 10А с/у ATLAS ПЕСОЧНЫЙ ATN1212 (5)</t>
  </si>
  <si>
    <t>300200720_</t>
  </si>
  <si>
    <t>К093 Выкл 1 кл с инд 10А с/у б/рамки ATLAS ПЕСОЧНЫЙ ATN1213</t>
  </si>
  <si>
    <t>300200721_</t>
  </si>
  <si>
    <t>К094 Выкл 2 кл 10А с/у ATLAS ПЕСОЧНЫЙ ATN1252 (5)</t>
  </si>
  <si>
    <t>300200722_</t>
  </si>
  <si>
    <t>К0944 Выкл. 2 кл 10А б/рамки "ATLAS" ПЕСОЧНЫЙ ATN1251 (5) NEW</t>
  </si>
  <si>
    <t>300200777_</t>
  </si>
  <si>
    <t>К095 Выкл 2 кл с инд 10А с/у б/рамки ATLAS ПЕСОЧНЫЙ ATN1253</t>
  </si>
  <si>
    <t>300200723_</t>
  </si>
  <si>
    <t>К096 Выкл 3 кл 10А с/у б/рамки ATLAS ПЕСОЧНЫЙ ATN1231 (5)</t>
  </si>
  <si>
    <t>300200724_</t>
  </si>
  <si>
    <t>К097 Комп. роз. RJ45 5Е механизм б/рамки ATLAS ПЕСОЧНЫЙ ATN1283 (5)</t>
  </si>
  <si>
    <t>300200725_</t>
  </si>
  <si>
    <t>К098 Переключ. 1 кл 10А с/у б/рамки ATLAS ПЕСОЧНЫЙ ATN1261 (5)</t>
  </si>
  <si>
    <t>300200726_</t>
  </si>
  <si>
    <t>К099 Переключ. 1 кл с инд 10А с/у б/рамки ATLAS ПЕСОЧНЫЙ ATN1263</t>
  </si>
  <si>
    <t>300200727_</t>
  </si>
  <si>
    <t>К100 Перекрест.переключ. 1 кл 10А с/у б/рамки ATLAS ПЕСОЧНЫЙ ATN1271 (5)</t>
  </si>
  <si>
    <t>300200728_</t>
  </si>
  <si>
    <t>К101 Роз. 2-ная с/у 16А ATLAS ПЕСОЧНЫЙ ATN1220 (6)</t>
  </si>
  <si>
    <t>300200729_</t>
  </si>
  <si>
    <t>К102 Роз. 2-ная с/у 16А с з/к з/ш ATLAS ПЕСОЧНЫЙ ATN1226 (6)</t>
  </si>
  <si>
    <t>300200730_</t>
  </si>
  <si>
    <t>К103 Роз. RJ45+RJ45 5Е кат 5Е механизм б/рамки ATLAS ПЕСОЧНЫЙ ATN1285 (5)</t>
  </si>
  <si>
    <t>300200731_</t>
  </si>
  <si>
    <t>К104 Роз. с з/к 16А с/у з/ш ATLAS ПЕСОЧНЫЙ ATN1244 (5)</t>
  </si>
  <si>
    <t>300200732_</t>
  </si>
  <si>
    <t>К1044 Роз. без з/к без с/ш 16А б/рамки "ATLAS" ПЕСОЧНЫЙ ATN1241 (5) NEW</t>
  </si>
  <si>
    <t>300200778_</t>
  </si>
  <si>
    <t>К105 ТV роз. оконечная с/у б/рамки ATLAS ПЕСОЧНЫЙ ATN1291 (5)</t>
  </si>
  <si>
    <t>300200733_</t>
  </si>
  <si>
    <t>К106 Телефонная роз. RJ11 механизм б/рамки ATLAS ПЕСОЧНЫЙ ATN1281 (5)</t>
  </si>
  <si>
    <t>300200734_</t>
  </si>
  <si>
    <t>К107 Рамка 1-ная ATLAS ПЕСОЧНЫЙ ATN1201 (10)</t>
  </si>
  <si>
    <t>300200735_</t>
  </si>
  <si>
    <t>К108 Рамка 2-ная ATLAS ПЕСОЧНЫЙ ATN1202 (5)</t>
  </si>
  <si>
    <t>300200736_</t>
  </si>
  <si>
    <t>К109 Рамка 3-ная ATLAS ПЕСОЧНЫЙ ATN1203 (5)</t>
  </si>
  <si>
    <t>300200737_</t>
  </si>
  <si>
    <t>К110 Рамка 4-ная ATLAS ПЕСОЧНЫЙ ATN1204 (5)</t>
  </si>
  <si>
    <t>300200738_</t>
  </si>
  <si>
    <t>К111 Выкл 1-кл о/у IP54 10А Atlas Profi 54 БЕЛЫЙ ATN540111 (12)</t>
  </si>
  <si>
    <t>300200742_</t>
  </si>
  <si>
    <t>К111 Рамка 5-ная ATLAS ПЕСОЧНЫЙ ATN1205 (5)</t>
  </si>
  <si>
    <t>300200739_</t>
  </si>
  <si>
    <t>К112 Выкл 2-кл о/у IP54 10А Atlas Profi 54 БЕЛЫЙ ATN540151 (12)</t>
  </si>
  <si>
    <t>300200743_</t>
  </si>
  <si>
    <t>К112 Переключ. 2 кл 10А с/у б/рамки ATLAS ПЕСОЧНЫЙ ATN1265 (5)</t>
  </si>
  <si>
    <t>300200740_</t>
  </si>
  <si>
    <t>К113 Выкл 1-кл сх.1 10АХ механизм ПЕСОЧНЫЙ ATLAS ATN1211 (5)</t>
  </si>
  <si>
    <t>300200741_</t>
  </si>
  <si>
    <t>К113 Роз. з/к з/ш о/у IP54 16А 250В Atlas Profi 54 БЕЛЫЙ ATN540145 (12)</t>
  </si>
  <si>
    <t>300200744_</t>
  </si>
  <si>
    <t>К114 Роз. 2-я з/к о/у IP54 16А Atlas Profi 54 БЕЛЫЙ ATN540126 (6)</t>
  </si>
  <si>
    <t>300200745_</t>
  </si>
  <si>
    <t>К115 Перекл 1-кл о/у IP54 Atlas Profi 54 БЕЛЫЙ ATN540161 (12)</t>
  </si>
  <si>
    <t>300200746_</t>
  </si>
  <si>
    <t>К116 Роз,Выкл.2-кл з/к з/ш о/у IP54 16А Atlas Profi 54 БЕЛЫЙ ATN540174 (6)</t>
  </si>
  <si>
    <t>300200747_</t>
  </si>
  <si>
    <t>К117 Роз,Выкл.1-кл з/к з/ш о/у IP54 16А Atlas Profi 54 БЕЛЫЙ ATN540170 (6)</t>
  </si>
  <si>
    <t>300200748_</t>
  </si>
  <si>
    <t>К118 Выкл 1-кл о/у IP54 Atlas Profi 54 АНТРАЦИТ ATN544011 (12)</t>
  </si>
  <si>
    <t>300200749_</t>
  </si>
  <si>
    <t>К119 Выкл 2-кл о/у IP54 Atlas Profi 54 АНТРАЦИТ ATN544051 (12)</t>
  </si>
  <si>
    <t>300200750_</t>
  </si>
  <si>
    <t>К120 Роз. з/к з/ш о/у IP54 16А 250В Atlas Profi 54 АНТРАЦИТ ATN544045 (12)</t>
  </si>
  <si>
    <t>300200751_</t>
  </si>
  <si>
    <t>К121 Роз. 2-я з/к о/у IP54 16А Atlas Profi 54 АНТРАЦИТ ATN544026 (6)</t>
  </si>
  <si>
    <t>300200752_</t>
  </si>
  <si>
    <t>К122 Перекл 1-кл о/у IP54 Atlas Profi 54 АНТРАЦИТ ATN544061 (12)</t>
  </si>
  <si>
    <t>300200753_</t>
  </si>
  <si>
    <t>К123 Блок:Роз+выкл 2-кл з/к з/ш о/у IP54 16А Atlas Profi 54 АНТРАЦИТ ATN544074 (6)</t>
  </si>
  <si>
    <t>300200754_</t>
  </si>
  <si>
    <t>К124 Блок:Роз+выкл 1-кл з/к з/ш о/у IP54 16А Atlas Profi 54 АНТРАЦИТ ATN544070 (6)</t>
  </si>
  <si>
    <t>300200755_</t>
  </si>
  <si>
    <t>КОРОБКА МОНТАЖН.С / У Д / СИЛ.РОЗЕТОК, ЗЕЛЕН</t>
  </si>
  <si>
    <t>300200497_</t>
  </si>
  <si>
    <t>Распределительная  коробка о/у  с сальниками  65х45 IP55 IMT35093 Systeme Electric (150)</t>
  </si>
  <si>
    <t>030200226_</t>
  </si>
  <si>
    <t>Распределительная  коробка о/у  с сальниками  70х70х40 IP55 IMT35090 Systeme Electric (96)</t>
  </si>
  <si>
    <t>030200223_</t>
  </si>
  <si>
    <t>Распределительная  коробка о/у  с сальниками  80х40 IP55 IMT35094 Systeme Electric (96)</t>
  </si>
  <si>
    <t>030200227_</t>
  </si>
  <si>
    <t>Распределительная  коробка о/у  с сальниками  85х85х40 IP55 IMT35092 Systeme Electric (72)</t>
  </si>
  <si>
    <t>030200225_</t>
  </si>
  <si>
    <t>Распределительная  коробка о/у  с сальниками 100х100х50 IP55 IMT35091 Systeme Electric (45)</t>
  </si>
  <si>
    <t>030200224_</t>
  </si>
  <si>
    <t>Распределительная коробка с/у для полых стен г/к  80х45 IP20 IMT35160 Systeme Electric (120)</t>
  </si>
  <si>
    <t>030200221_</t>
  </si>
  <si>
    <t>Распределительная коробка с/у для полых стен г/к 100х100х50 IP20 IMT35161 Systeme Electric (72)</t>
  </si>
  <si>
    <t>030200222_</t>
  </si>
  <si>
    <t>Роз. 2-ная с з/к 16А в сборе жемчуг ATLASDESIGN !!!</t>
  </si>
  <si>
    <t>300200473_</t>
  </si>
  <si>
    <t>Роз. с з/к  со з/ш с крышкой 16А IP20 механизм жемчуг ATLASDESIGN</t>
  </si>
  <si>
    <t>ATN000446</t>
  </si>
  <si>
    <t>РОЗЕТКА двойная комп+ТВ, RJ45+TV, кат.5E, механизм"ATLAS" алюминий ATN389 !!!</t>
  </si>
  <si>
    <t>ATN000389</t>
  </si>
  <si>
    <t>Сжим У 731М  (4-10/1,5-10) SE (140)</t>
  </si>
  <si>
    <t>130300026_</t>
  </si>
  <si>
    <t>Сжим У 733M (16-35/1,5-10)  SE (140)</t>
  </si>
  <si>
    <t>130300027_</t>
  </si>
  <si>
    <t>Сжим У 734М (16-35/16-25) SE (140)</t>
  </si>
  <si>
    <t>130300028_</t>
  </si>
  <si>
    <t>Соединитель коробок IMT35150/IMT351501 Systeme Electric (900)</t>
  </si>
  <si>
    <t>030200203_</t>
  </si>
  <si>
    <t>год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</si>
  <si>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</si>
  <si>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</si>
  <si>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</si>
  <si>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</si>
  <si>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</si>
  <si>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</si>
  <si>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</si>
  <si>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</si>
  <si>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</si>
  <si>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</si>
  <si>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</si>
  <si>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</si>
  <si>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ИТОГО</t>
  </si>
  <si>
    <t>Сезонность по годам</t>
  </si>
  <si>
    <t>Месяц</t>
  </si>
  <si>
    <t>Продажи 2024</t>
  </si>
  <si>
    <t>Коэф. сезонности</t>
  </si>
  <si>
    <t>Доля в году</t>
  </si>
  <si>
    <t>Продажи 2025</t>
  </si>
  <si>
    <t>Коэф. сезонности 2025</t>
  </si>
  <si>
    <t>Доля в году 2025</t>
  </si>
  <si>
    <t>Продажи 2026</t>
  </si>
  <si>
    <t>Коэф. сезонности 2026</t>
  </si>
  <si>
    <t>Доля в году 2026</t>
  </si>
  <si>
    <t>Год</t>
  </si>
  <si>
    <t>Среднемес.</t>
  </si>
  <si>
    <t>Итого за год</t>
  </si>
  <si>
    <t>Артикул</t>
  </si>
  <si>
    <t>Кратность</t>
  </si>
  <si>
    <t>VS616-157B-18</t>
  </si>
  <si>
    <t>VS616-157-18</t>
  </si>
  <si>
    <t>ATN000433</t>
  </si>
  <si>
    <t>S16-057-B</t>
  </si>
  <si>
    <t>S56-043-B</t>
  </si>
  <si>
    <t>A16-051-B</t>
  </si>
  <si>
    <t>RA10-164-B</t>
  </si>
  <si>
    <t>РС16-006В</t>
  </si>
  <si>
    <t>ATN000334</t>
  </si>
  <si>
    <t>VS16-135-B</t>
  </si>
  <si>
    <t>BLNMK000001</t>
  </si>
  <si>
    <t>ATN000424</t>
  </si>
  <si>
    <t>VS510-252-18</t>
  </si>
  <si>
    <t>SR-5S2-18</t>
  </si>
  <si>
    <t>RTS-151-18</t>
  </si>
  <si>
    <t>RS16-151-18</t>
  </si>
  <si>
    <t>RS16-152-18</t>
  </si>
  <si>
    <t>RS16-254-18</t>
  </si>
  <si>
    <t>RS16-255-18</t>
  </si>
  <si>
    <t>RS16-152B-18</t>
  </si>
  <si>
    <t>RSI-152T-18</t>
  </si>
  <si>
    <t>RSI-152K5E-18</t>
  </si>
  <si>
    <t>RSI-251TK5E-18</t>
  </si>
  <si>
    <t>RSI-251KK5E-1-86</t>
  </si>
  <si>
    <t>IMT35120</t>
  </si>
  <si>
    <t>U195</t>
  </si>
  <si>
    <t>IMT35122</t>
  </si>
  <si>
    <t>IMT35121</t>
  </si>
  <si>
    <t>U191</t>
  </si>
  <si>
    <t>U192</t>
  </si>
  <si>
    <t>IMT35150</t>
  </si>
  <si>
    <t>IMT35151</t>
  </si>
  <si>
    <t>IMT35100</t>
  </si>
  <si>
    <t>IMT35101</t>
  </si>
  <si>
    <t>ATN000343</t>
  </si>
  <si>
    <t>BLNVA101006</t>
  </si>
  <si>
    <t>BLNVA105016</t>
  </si>
  <si>
    <t>BLNRA000116</t>
  </si>
  <si>
    <t>BLNRA000216</t>
  </si>
  <si>
    <t>BLNRA000316</t>
  </si>
  <si>
    <t>BLNRA010316</t>
  </si>
  <si>
    <t>BLNRA000416</t>
  </si>
  <si>
    <t>BLNRA011416</t>
  </si>
  <si>
    <t>BLNRA010116</t>
  </si>
  <si>
    <t>BLNRA010216</t>
  </si>
  <si>
    <t>BLNSK003231</t>
  </si>
  <si>
    <t>EZ9E112S2FRU</t>
  </si>
  <si>
    <t>EZ9E108S2FRU</t>
  </si>
  <si>
    <t>EZ9E118S2FRU</t>
  </si>
  <si>
    <t>EZ9E212S2FRU</t>
  </si>
  <si>
    <t>EZ9E312S2FRU</t>
  </si>
  <si>
    <t>EZ9E108S2SRU</t>
  </si>
  <si>
    <t>EZ9E112S2SRU</t>
  </si>
  <si>
    <t>EZ9E118S2SRU</t>
  </si>
  <si>
    <t>EZ9E212S2SRU</t>
  </si>
  <si>
    <t>EZ9E312S2SRU</t>
  </si>
  <si>
    <t>GAL000343</t>
  </si>
  <si>
    <t>GAL000311</t>
  </si>
  <si>
    <t>GAL000313</t>
  </si>
  <si>
    <t>GAL000351</t>
  </si>
  <si>
    <t>GAL000353</t>
  </si>
  <si>
    <t>GAL000386</t>
  </si>
  <si>
    <t>GAL000361</t>
  </si>
  <si>
    <t>GAL000371</t>
  </si>
  <si>
    <t>GAL000388</t>
  </si>
  <si>
    <t>GAL000345</t>
  </si>
  <si>
    <t>GAL000391</t>
  </si>
  <si>
    <t>GAL000301</t>
  </si>
  <si>
    <t>GAL000302</t>
  </si>
  <si>
    <t>GAL000303</t>
  </si>
  <si>
    <t>GAL000304</t>
  </si>
  <si>
    <t>GAL000305</t>
  </si>
  <si>
    <t>GAL000365</t>
  </si>
  <si>
    <t>GAL440301</t>
  </si>
  <si>
    <t>GAL440302</t>
  </si>
  <si>
    <t>GAL440346</t>
  </si>
  <si>
    <t>GAL000315</t>
  </si>
  <si>
    <t>GAL000399</t>
  </si>
  <si>
    <t>GAL000389</t>
  </si>
  <si>
    <t>GAL000329</t>
  </si>
  <si>
    <t>GAL000323</t>
  </si>
  <si>
    <t>GAL000346</t>
  </si>
  <si>
    <t>GAL000543</t>
  </si>
  <si>
    <t>GAL000545</t>
  </si>
  <si>
    <t>GAL000511</t>
  </si>
  <si>
    <t>GAL000513</t>
  </si>
  <si>
    <t>GAL000551</t>
  </si>
  <si>
    <t>GAL000553</t>
  </si>
  <si>
    <t>GAL000586</t>
  </si>
  <si>
    <t>GAL000561</t>
  </si>
  <si>
    <t>GAL000571</t>
  </si>
  <si>
    <t>GAL000588</t>
  </si>
  <si>
    <t>GAL000591</t>
  </si>
  <si>
    <t>GAL000501</t>
  </si>
  <si>
    <t>GAL000502</t>
  </si>
  <si>
    <t>GAL000503</t>
  </si>
  <si>
    <t>GAL000504</t>
  </si>
  <si>
    <t>GAL000505</t>
  </si>
  <si>
    <t>GAL000565</t>
  </si>
  <si>
    <t>GAL000515</t>
  </si>
  <si>
    <t>GAL000599</t>
  </si>
  <si>
    <t>GAL000589</t>
  </si>
  <si>
    <t>GAL000529</t>
  </si>
  <si>
    <t>GAL000523</t>
  </si>
  <si>
    <t>GAL000546</t>
  </si>
  <si>
    <t>GAL001311</t>
  </si>
  <si>
    <t>GAL001313</t>
  </si>
  <si>
    <t>GAL001351</t>
  </si>
  <si>
    <t>GAL001353</t>
  </si>
  <si>
    <t>GAL001323</t>
  </si>
  <si>
    <t>GAL001386</t>
  </si>
  <si>
    <t>GAL001361</t>
  </si>
  <si>
    <t>GAL001371</t>
  </si>
  <si>
    <t>GAL001388</t>
  </si>
  <si>
    <t>GAL001343</t>
  </si>
  <si>
    <t>GAL001345</t>
  </si>
  <si>
    <t>GAL001346</t>
  </si>
  <si>
    <t>GAL001391</t>
  </si>
  <si>
    <t>GAL001301</t>
  </si>
  <si>
    <t>GAL001302</t>
  </si>
  <si>
    <t>GAL001303</t>
  </si>
  <si>
    <t>GAL001304</t>
  </si>
  <si>
    <t>GAL001305</t>
  </si>
  <si>
    <t>GAL001365</t>
  </si>
  <si>
    <t>GAL001315</t>
  </si>
  <si>
    <t>GAL001399</t>
  </si>
  <si>
    <t>GAL001389</t>
  </si>
  <si>
    <t>GAL001329</t>
  </si>
  <si>
    <t>GAL001043</t>
  </si>
  <si>
    <t>GAL001011</t>
  </si>
  <si>
    <t>GAL001013</t>
  </si>
  <si>
    <t>GAL001051</t>
  </si>
  <si>
    <t>GAL001053</t>
  </si>
  <si>
    <t>GAL001086</t>
  </si>
  <si>
    <t>GAL001061</t>
  </si>
  <si>
    <t>GAL001071</t>
  </si>
  <si>
    <t>GAL001088</t>
  </si>
  <si>
    <t>GAL001045</t>
  </si>
  <si>
    <t>GAL001046</t>
  </si>
  <si>
    <t>GAL001091</t>
  </si>
  <si>
    <t>GAL001001</t>
  </si>
  <si>
    <t>GAL001002</t>
  </si>
  <si>
    <t>GAL001003</t>
  </si>
  <si>
    <t>GAL001004</t>
  </si>
  <si>
    <t>GAL001005</t>
  </si>
  <si>
    <t>GAL001065</t>
  </si>
  <si>
    <t>GAL001023</t>
  </si>
  <si>
    <t>GAL441046</t>
  </si>
  <si>
    <t>GAL441001</t>
  </si>
  <si>
    <t>GAL441002</t>
  </si>
  <si>
    <t>GAL001015</t>
  </si>
  <si>
    <t>GAL001099</t>
  </si>
  <si>
    <t>GAL001089</t>
  </si>
  <si>
    <t>GAL001029</t>
  </si>
  <si>
    <t>GAL001601</t>
  </si>
  <si>
    <t>GAL001602</t>
  </si>
  <si>
    <t>GAL001603</t>
  </si>
  <si>
    <t>GAL001604</t>
  </si>
  <si>
    <t>GAL001605</t>
  </si>
  <si>
    <t>GAL000943</t>
  </si>
  <si>
    <t>GAL000911</t>
  </si>
  <si>
    <t>GAL000913</t>
  </si>
  <si>
    <t>GAL000951</t>
  </si>
  <si>
    <t>GAL000986</t>
  </si>
  <si>
    <t>GAL000961</t>
  </si>
  <si>
    <t>GAL000971</t>
  </si>
  <si>
    <t>GAL000988</t>
  </si>
  <si>
    <t>GAL000945</t>
  </si>
  <si>
    <t>GAL000991</t>
  </si>
  <si>
    <t>GAL000901</t>
  </si>
  <si>
    <t>GAL000902</t>
  </si>
  <si>
    <t>GAL000903</t>
  </si>
  <si>
    <t>GAL000904</t>
  </si>
  <si>
    <t>GAL000905</t>
  </si>
  <si>
    <t>GAL000965</t>
  </si>
  <si>
    <t>GAL000915</t>
  </si>
  <si>
    <t>GAL000999</t>
  </si>
  <si>
    <t>GAL000989</t>
  </si>
  <si>
    <t>GAL000929</t>
  </si>
  <si>
    <t>GAL000923</t>
  </si>
  <si>
    <t>GAL000946</t>
  </si>
  <si>
    <t>GAL000643</t>
  </si>
  <si>
    <t>GAL000645</t>
  </si>
  <si>
    <t>GAL000611</t>
  </si>
  <si>
    <t>GAL000613</t>
  </si>
  <si>
    <t>GAL000651</t>
  </si>
  <si>
    <t>GAL000653</t>
  </si>
  <si>
    <t>GAL000686</t>
  </si>
  <si>
    <t>GAL000661</t>
  </si>
  <si>
    <t>GAL000671</t>
  </si>
  <si>
    <t>GAL000688</t>
  </si>
  <si>
    <t>GAL000691</t>
  </si>
  <si>
    <t>GAL000601</t>
  </si>
  <si>
    <t>GAL000602</t>
  </si>
  <si>
    <t>GAL000603</t>
  </si>
  <si>
    <t>GAL000604</t>
  </si>
  <si>
    <t>GAL000605</t>
  </si>
  <si>
    <t>GAL000665</t>
  </si>
  <si>
    <t>GAL000615</t>
  </si>
  <si>
    <t>GAL000699</t>
  </si>
  <si>
    <t>GAL000689</t>
  </si>
  <si>
    <t>GAL000629</t>
  </si>
  <si>
    <t>GAL000623</t>
  </si>
  <si>
    <t>GAL000646</t>
  </si>
  <si>
    <t>GAL001443</t>
  </si>
  <si>
    <t>GAL001411</t>
  </si>
  <si>
    <t>GAL001413</t>
  </si>
  <si>
    <t>GAL001451</t>
  </si>
  <si>
    <t>GAL001453</t>
  </si>
  <si>
    <t>GAL001486</t>
  </si>
  <si>
    <t>GAL001461</t>
  </si>
  <si>
    <t>GAL001471</t>
  </si>
  <si>
    <t>GAL001488</t>
  </si>
  <si>
    <t>GAL001445</t>
  </si>
  <si>
    <t>GAL001446</t>
  </si>
  <si>
    <t>GAL001491</t>
  </si>
  <si>
    <t>GAL001401</t>
  </si>
  <si>
    <t>GAL001402</t>
  </si>
  <si>
    <t>GAL001403</t>
  </si>
  <si>
    <t>GAL001404</t>
  </si>
  <si>
    <t>GAL001405</t>
  </si>
  <si>
    <t>GAL001465</t>
  </si>
  <si>
    <t>GAL001423</t>
  </si>
  <si>
    <t>GAL001415</t>
  </si>
  <si>
    <t>GAL001499</t>
  </si>
  <si>
    <t>GAL001489</t>
  </si>
  <si>
    <t>GAL001429</t>
  </si>
  <si>
    <t>ATN000412</t>
  </si>
  <si>
    <t>ATN000413</t>
  </si>
  <si>
    <t>ATN000452</t>
  </si>
  <si>
    <t>ATN000453</t>
  </si>
  <si>
    <t>ATN000431</t>
  </si>
  <si>
    <t>ATN000483</t>
  </si>
  <si>
    <t>ATN000461</t>
  </si>
  <si>
    <t>ATN000463</t>
  </si>
  <si>
    <t>ATN000471</t>
  </si>
  <si>
    <t>ATN000420</t>
  </si>
  <si>
    <t>ATN000426</t>
  </si>
  <si>
    <t>ATN000485</t>
  </si>
  <si>
    <t>ATN000443</t>
  </si>
  <si>
    <t>ATN000441</t>
  </si>
  <si>
    <t>ATN000444</t>
  </si>
  <si>
    <t>ATN000491</t>
  </si>
  <si>
    <t>ATN000481</t>
  </si>
  <si>
    <t>ATN000401</t>
  </si>
  <si>
    <t>ATN000402</t>
  </si>
  <si>
    <t>ATN000403</t>
  </si>
  <si>
    <t>ATN000404</t>
  </si>
  <si>
    <t>ATN000405</t>
  </si>
  <si>
    <t>ATN000465</t>
  </si>
  <si>
    <t>GSL000151</t>
  </si>
  <si>
    <t>ATN000943</t>
  </si>
  <si>
    <t>ATN000912</t>
  </si>
  <si>
    <t>ATN000913</t>
  </si>
  <si>
    <t>ATN000952</t>
  </si>
  <si>
    <t>ATN000953</t>
  </si>
  <si>
    <t>ATN000931</t>
  </si>
  <si>
    <t>ATN000983</t>
  </si>
  <si>
    <t>ATN000961</t>
  </si>
  <si>
    <t>ATN000971</t>
  </si>
  <si>
    <t>ATN000920</t>
  </si>
  <si>
    <t>ATN000926</t>
  </si>
  <si>
    <t>ATN000985</t>
  </si>
  <si>
    <t>ATN000944</t>
  </si>
  <si>
    <t>ATN000991</t>
  </si>
  <si>
    <t>ATN000981</t>
  </si>
  <si>
    <t>ATN000901</t>
  </si>
  <si>
    <t>ATN000902</t>
  </si>
  <si>
    <t>ATN000903</t>
  </si>
  <si>
    <t>ATN000904</t>
  </si>
  <si>
    <t>ATN000905</t>
  </si>
  <si>
    <t>ATN000965</t>
  </si>
  <si>
    <t>ATN000543</t>
  </si>
  <si>
    <t>ATN000545</t>
  </si>
  <si>
    <t>ATN000541</t>
  </si>
  <si>
    <t>ATN000512</t>
  </si>
  <si>
    <t>ATN000513</t>
  </si>
  <si>
    <t>ATN000552</t>
  </si>
  <si>
    <t>ATN000551</t>
  </si>
  <si>
    <t>ATN000553</t>
  </si>
  <si>
    <t>ATN000531</t>
  </si>
  <si>
    <t>ATN000583</t>
  </si>
  <si>
    <t>ATN000561</t>
  </si>
  <si>
    <t>ATN000563</t>
  </si>
  <si>
    <t>ATN000571</t>
  </si>
  <si>
    <t>ATN000573</t>
  </si>
  <si>
    <t>ATN000520</t>
  </si>
  <si>
    <t>ATN000526</t>
  </si>
  <si>
    <t>ATN000585</t>
  </si>
  <si>
    <t>ATN000544</t>
  </si>
  <si>
    <t>ATN000591</t>
  </si>
  <si>
    <t>ATN000581</t>
  </si>
  <si>
    <t>ATN000501</t>
  </si>
  <si>
    <t>ATN000502</t>
  </si>
  <si>
    <t>ATN000503</t>
  </si>
  <si>
    <t>ATN000504</t>
  </si>
  <si>
    <t>ATN000505</t>
  </si>
  <si>
    <t>ATN000565</t>
  </si>
  <si>
    <t>ATN000743</t>
  </si>
  <si>
    <t>ATN000712</t>
  </si>
  <si>
    <t>ATN000711</t>
  </si>
  <si>
    <t>ATN000713</t>
  </si>
  <si>
    <t>ATN000752</t>
  </si>
  <si>
    <t>ATN000751</t>
  </si>
  <si>
    <t>ATN000753</t>
  </si>
  <si>
    <t>ATN000731</t>
  </si>
  <si>
    <t>ATN000783</t>
  </si>
  <si>
    <t>ATN000761</t>
  </si>
  <si>
    <t>ATN000763</t>
  </si>
  <si>
    <t>ATN000771</t>
  </si>
  <si>
    <t>ATN000720</t>
  </si>
  <si>
    <t>ATN000726</t>
  </si>
  <si>
    <t>ATN000785</t>
  </si>
  <si>
    <t>ATN000744</t>
  </si>
  <si>
    <t>ATN000741</t>
  </si>
  <si>
    <t>ATN000791</t>
  </si>
  <si>
    <t>ATN000701</t>
  </si>
  <si>
    <t>ATN000702</t>
  </si>
  <si>
    <t>ATN000703</t>
  </si>
  <si>
    <t>ATN000704</t>
  </si>
  <si>
    <t>ATN000705</t>
  </si>
  <si>
    <t>ATN000765</t>
  </si>
  <si>
    <t>ATN001043</t>
  </si>
  <si>
    <t>ATN001041</t>
  </si>
  <si>
    <t>ATN001012</t>
  </si>
  <si>
    <t>ATN001011</t>
  </si>
  <si>
    <t>ATN001013</t>
  </si>
  <si>
    <t>ATN001052</t>
  </si>
  <si>
    <t>ATN001051</t>
  </si>
  <si>
    <t>ATN001053</t>
  </si>
  <si>
    <t>ATN001031</t>
  </si>
  <si>
    <t>ATN001083</t>
  </si>
  <si>
    <t>ATN001061</t>
  </si>
  <si>
    <t>ATN001063</t>
  </si>
  <si>
    <t>ATN001071</t>
  </si>
  <si>
    <t>ATN001073</t>
  </si>
  <si>
    <t>ATN001020</t>
  </si>
  <si>
    <t>ATN001026</t>
  </si>
  <si>
    <t>ATN001085</t>
  </si>
  <si>
    <t>ATN001044</t>
  </si>
  <si>
    <t>ATN001091</t>
  </si>
  <si>
    <t>ATN001081</t>
  </si>
  <si>
    <t>ATN001001</t>
  </si>
  <si>
    <t>ATN001002</t>
  </si>
  <si>
    <t>ATN001003</t>
  </si>
  <si>
    <t>ATN001004</t>
  </si>
  <si>
    <t>ATN001005</t>
  </si>
  <si>
    <t>ATN001065</t>
  </si>
  <si>
    <t>ATN001023</t>
  </si>
  <si>
    <t>ATN441051</t>
  </si>
  <si>
    <t>ATN441046</t>
  </si>
  <si>
    <t>ATN441001</t>
  </si>
  <si>
    <t>ATN441002</t>
  </si>
  <si>
    <t>KD-1-18</t>
  </si>
  <si>
    <t>KD-2-18</t>
  </si>
  <si>
    <t>KD-3-18</t>
  </si>
  <si>
    <t>KD-4-18</t>
  </si>
  <si>
    <t>S16-053-B</t>
  </si>
  <si>
    <t>S56-039-B</t>
  </si>
  <si>
    <t>RS16-004-B</t>
  </si>
  <si>
    <t>A56-007-B</t>
  </si>
  <si>
    <t>VS16-133-B</t>
  </si>
  <si>
    <t>VS56-234-B</t>
  </si>
  <si>
    <t>RS10-132-B</t>
  </si>
  <si>
    <t>RS16-134-B</t>
  </si>
  <si>
    <t>RS16-235-B</t>
  </si>
  <si>
    <t>RS16-236-B</t>
  </si>
  <si>
    <t>VA16-131-B</t>
  </si>
  <si>
    <t>VA56-232-B</t>
  </si>
  <si>
    <t>RA10-131-B</t>
  </si>
  <si>
    <t>RA16-133-B</t>
  </si>
  <si>
    <t>RA16-237I-B</t>
  </si>
  <si>
    <t>RA16-238I-B</t>
  </si>
  <si>
    <t>VS110-153-18</t>
  </si>
  <si>
    <t>VA66-102B-BI</t>
  </si>
  <si>
    <t>VA56-225B-BI</t>
  </si>
  <si>
    <t>RS16-126B-BI</t>
  </si>
  <si>
    <t>RA10-125B-BI</t>
  </si>
  <si>
    <t>RA16-112B-BI</t>
  </si>
  <si>
    <t>RA16-227B-BI</t>
  </si>
  <si>
    <t>PC16-044B</t>
  </si>
  <si>
    <t>BA10-045B</t>
  </si>
  <si>
    <t>PA16-044B</t>
  </si>
  <si>
    <t>GSL000112</t>
  </si>
  <si>
    <t>GSL000113</t>
  </si>
  <si>
    <t>GSL000152</t>
  </si>
  <si>
    <t>GSL000153</t>
  </si>
  <si>
    <t>GSL000131</t>
  </si>
  <si>
    <t>GSL000161</t>
  </si>
  <si>
    <t>GSL000163</t>
  </si>
  <si>
    <t>GSL000120</t>
  </si>
  <si>
    <t>GSL000126</t>
  </si>
  <si>
    <t>GSL000142</t>
  </si>
  <si>
    <t>GSL000144</t>
  </si>
  <si>
    <t>GSL000148</t>
  </si>
  <si>
    <t>GSL000181K</t>
  </si>
  <si>
    <t>GSL000185</t>
  </si>
  <si>
    <t>GSL000192</t>
  </si>
  <si>
    <t>GSL000181T</t>
  </si>
  <si>
    <t>GSL000133</t>
  </si>
  <si>
    <t>GSL000101</t>
  </si>
  <si>
    <t>GSL000102</t>
  </si>
  <si>
    <t>GSL000103</t>
  </si>
  <si>
    <t>GSL000104</t>
  </si>
  <si>
    <t>GSL000105</t>
  </si>
  <si>
    <t>ATN000111</t>
  </si>
  <si>
    <t>ATN000112</t>
  </si>
  <si>
    <t>ATN000113</t>
  </si>
  <si>
    <t>ATN000152</t>
  </si>
  <si>
    <t>ATN000151</t>
  </si>
  <si>
    <t>ATN000153</t>
  </si>
  <si>
    <t>ATN000131</t>
  </si>
  <si>
    <t>ATN000123</t>
  </si>
  <si>
    <t>ATN000183</t>
  </si>
  <si>
    <t>ATN000161</t>
  </si>
  <si>
    <t>ATN000163</t>
  </si>
  <si>
    <t>ATN000171</t>
  </si>
  <si>
    <t>ATN000120</t>
  </si>
  <si>
    <t>ATN000126</t>
  </si>
  <si>
    <t>ATN000128</t>
  </si>
  <si>
    <t>ATN000185</t>
  </si>
  <si>
    <t>ATN000143</t>
  </si>
  <si>
    <t>ATN000141</t>
  </si>
  <si>
    <t>ATN000144</t>
  </si>
  <si>
    <t>ATN000147</t>
  </si>
  <si>
    <t>ATN000146</t>
  </si>
  <si>
    <t>ATN000191</t>
  </si>
  <si>
    <t>ATN000181</t>
  </si>
  <si>
    <t>ATN000138</t>
  </si>
  <si>
    <t>ATN000133</t>
  </si>
  <si>
    <t>ATN000101</t>
  </si>
  <si>
    <t>ATN000102</t>
  </si>
  <si>
    <t>ATN000103</t>
  </si>
  <si>
    <t>ATN000104</t>
  </si>
  <si>
    <t>ATN000105</t>
  </si>
  <si>
    <t>ATN440161</t>
  </si>
  <si>
    <t>ATN440146</t>
  </si>
  <si>
    <t>ATN440101</t>
  </si>
  <si>
    <t>ATN440102</t>
  </si>
  <si>
    <t>BLNVS006101</t>
  </si>
  <si>
    <t>ATN000165</t>
  </si>
  <si>
    <t>BLNVS006501</t>
  </si>
  <si>
    <t>BLNRS000011</t>
  </si>
  <si>
    <t>ATN000173</t>
  </si>
  <si>
    <t>BLNRS000021</t>
  </si>
  <si>
    <t>ATN000199</t>
  </si>
  <si>
    <t>BLNRS001011</t>
  </si>
  <si>
    <t>ATN000115</t>
  </si>
  <si>
    <t>BLNRS001111</t>
  </si>
  <si>
    <t>BLNRS001021</t>
  </si>
  <si>
    <t>BLNRS001121</t>
  </si>
  <si>
    <t>BLNVA061011</t>
  </si>
  <si>
    <t>BLNVA065011</t>
  </si>
  <si>
    <t>BLNRA000111</t>
  </si>
  <si>
    <t>BLNRA000211</t>
  </si>
  <si>
    <t>BLNRA010111</t>
  </si>
  <si>
    <t>BLNRA010211</t>
  </si>
  <si>
    <t>BLNRA000311</t>
  </si>
  <si>
    <t>BLNRA010311</t>
  </si>
  <si>
    <t>BLNRA000411</t>
  </si>
  <si>
    <t>BLNRA011411</t>
  </si>
  <si>
    <t>BLNZA000011</t>
  </si>
  <si>
    <t>BLNRS441121</t>
  </si>
  <si>
    <t>BLNIS045001</t>
  </si>
  <si>
    <t>BLNTS000011</t>
  </si>
  <si>
    <t>ATN000312</t>
  </si>
  <si>
    <t>ATN000311</t>
  </si>
  <si>
    <t>ATN000313</t>
  </si>
  <si>
    <t>ATN000352</t>
  </si>
  <si>
    <t>ATN000353</t>
  </si>
  <si>
    <t>ATN000331</t>
  </si>
  <si>
    <t>ATN000383</t>
  </si>
  <si>
    <t>ATN000361</t>
  </si>
  <si>
    <t>ATN000363</t>
  </si>
  <si>
    <t>ATN000371</t>
  </si>
  <si>
    <t>ATN000373</t>
  </si>
  <si>
    <t>ATN000320</t>
  </si>
  <si>
    <t>ATN000326</t>
  </si>
  <si>
    <t>ATN000328</t>
  </si>
  <si>
    <t>ATN000385</t>
  </si>
  <si>
    <t>ATN000344</t>
  </si>
  <si>
    <t>ATN000341</t>
  </si>
  <si>
    <t>ATN000391</t>
  </si>
  <si>
    <t>ATN000381</t>
  </si>
  <si>
    <t>ATN000301</t>
  </si>
  <si>
    <t>ATN000302</t>
  </si>
  <si>
    <t>ATN000303</t>
  </si>
  <si>
    <t>ATN000304</t>
  </si>
  <si>
    <t>ATN000305</t>
  </si>
  <si>
    <t>ATN000365</t>
  </si>
  <si>
    <t>ATN000511</t>
  </si>
  <si>
    <t>ATN000451</t>
  </si>
  <si>
    <t>BLNVA105011</t>
  </si>
  <si>
    <t>ATN000951</t>
  </si>
  <si>
    <t>ATN001243</t>
  </si>
  <si>
    <t>ATN001245</t>
  </si>
  <si>
    <t>ATN001212</t>
  </si>
  <si>
    <t>ATN001213</t>
  </si>
  <si>
    <t>ATN001252</t>
  </si>
  <si>
    <t>ATN001251</t>
  </si>
  <si>
    <t>ATN001253</t>
  </si>
  <si>
    <t>ATN001231</t>
  </si>
  <si>
    <t>ATN001283</t>
  </si>
  <si>
    <t>ATN001261</t>
  </si>
  <si>
    <t>ATN001263</t>
  </si>
  <si>
    <t>ATN001271</t>
  </si>
  <si>
    <t>ATN001220</t>
  </si>
  <si>
    <t>ATN001226</t>
  </si>
  <si>
    <t>ATN001285</t>
  </si>
  <si>
    <t>ATN001244</t>
  </si>
  <si>
    <t>ATN001241</t>
  </si>
  <si>
    <t>ATN001291</t>
  </si>
  <si>
    <t>ATN001281</t>
  </si>
  <si>
    <t>ATN001201</t>
  </si>
  <si>
    <t>ATN001202</t>
  </si>
  <si>
    <t>ATN001203</t>
  </si>
  <si>
    <t>ATN001204</t>
  </si>
  <si>
    <t>ATN540111</t>
  </si>
  <si>
    <t>ATN001205</t>
  </si>
  <si>
    <t>ATN540151</t>
  </si>
  <si>
    <t>ATN001265</t>
  </si>
  <si>
    <t>ATN001211</t>
  </si>
  <si>
    <t>ATN540145</t>
  </si>
  <si>
    <t>ATN540126</t>
  </si>
  <si>
    <t>ATN540161</t>
  </si>
  <si>
    <t>ATN540174</t>
  </si>
  <si>
    <t>ATN540170</t>
  </si>
  <si>
    <t>ATN544011</t>
  </si>
  <si>
    <t>ATN544051</t>
  </si>
  <si>
    <t>ATN544045</t>
  </si>
  <si>
    <t>ATN544026</t>
  </si>
  <si>
    <t>ATN544061</t>
  </si>
  <si>
    <t>ATN544074</t>
  </si>
  <si>
    <t>ATN544070</t>
  </si>
  <si>
    <t>IMT35093</t>
  </si>
  <si>
    <t>IMT35090</t>
  </si>
  <si>
    <t>IMT35094</t>
  </si>
  <si>
    <t>IMT35092</t>
  </si>
  <si>
    <t>IMT35091</t>
  </si>
  <si>
    <t>IMT35160</t>
  </si>
  <si>
    <t>IMT35161</t>
  </si>
  <si>
    <t>U731M</t>
  </si>
  <si>
    <t>U733M</t>
  </si>
  <si>
    <t>U734M</t>
  </si>
  <si>
    <t>IMT35180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</si>
</sst>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%"/>
    <numFmt numFmtId="167" formatCode="#,##0.0"/>
  </numFmts>
  <fonts count="5" x14ac:knownFonts="1">
    <font>
      <sz val="8"/>
      <name val="Arial"/>
    </font>
    <font>
      <sz val="8"/>
      <name val="Arial"/>
      <family val="2"/>
    </font>
    <font>
      <sz val="10"/>
      <name val="Arial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indexed="51"/>
        <bgColor indexed="64"/>
      </patternFill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164" fontId="0" fillId="0" borderId="3" xfId="0" applyNumberFormat="1" applyBorder="1" applyAlignment="1">
      <alignment horizontal="right" vertical="top"/>
    </xf>
    <xf numFmtId="165" fontId="0" fillId="0" borderId="3" xfId="0" applyNumberFormat="1" applyBorder="1" applyAlignment="1">
      <alignment horizontal="right" vertical="top"/>
    </xf>
    <xf numFmtId="165" fontId="2" fillId="2" borderId="3" xfId="0" applyNumberFormat="1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/>
    <xf numFmtId="4" fontId="2" fillId="3" borderId="4" xfId="1" applyNumberFormat="1" applyFont="1" applyFill="1" applyBorder="1" applyAlignment="1">
      <alignment horizontal="right" vertical="top"/>
    </xf>
    <xf numFmtId="0" fontId="4" fillId="4" borderId="0" xfId="0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</cellXfs>
  <cellStyles count="2">
    <cellStyle name="Обычный" xfId="0" builtinId="0"/>
    <cellStyle name="Обычный_Лист1" xfId="1" xr:uid="{D63F121E-D35E-446F-B425-00E3B21D4B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L557"/>
  <sheetViews>
    <sheetView tabSelected="1" workbookViewId="0">
      <selection activeCell="A13" sqref="A13"/>
    </sheetView>
  </sheetViews>
  <sheetFormatPr defaultColWidth="10.5" defaultRowHeight="11.45" customHeight="1" x14ac:dyDescent="0.2"/>
  <cols>
    <col min="1" max="1" width="74.6640625" style="1" customWidth="1"/>
    <col min="2" max="2" width="16.83203125" style="1" customWidth="1"/>
    <col min="3" max="3" width="17.1640625" style="1" customWidth="1"/>
    <col min="4" max="4" width="8.1640625" style="1" customWidth="1"/>
    <col min="5" max="7" width="14.33203125" style="1" customWidth="1"/>
    <col min="8" max="10" width="14.6640625" style="1" customWidth="1"/>
    <col min="11" max="11" width="14.5" style="1" customWidth="1"/>
    <col min="12" max="28" width="14.6640625" style="1" customWidth="1"/>
    <col min="29" max="29" width="14.5" style="1" customWidth="1"/>
    <col min="30" max="37" width="14.6640625" style="1" customWidth="1"/>
    <col min="38" max="38" width="17.5" style="1" customWidth="1"/>
  </cols>
  <sheetData>
    <row r="1" spans="1:38" ht="12.95" customHeight="1" x14ac:dyDescent="0.2">
      <c r="A1" s="24" t="s">
        <v>0</v>
      </c>
      <c r="B1" s="24" t="s">
        <v>1</v>
      </c>
      <c r="C1" s="9" t="s">
        <v>1173</v>
      </c>
      <c r="D1" s="9" t="s">
        <v>1174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3" t="s">
        <v>35</v>
      </c>
    </row>
    <row r="2" spans="1:38" ht="12.95" customHeight="1" x14ac:dyDescent="0.2">
      <c r="A2" s="25"/>
      <c r="B2" s="25"/>
      <c r="C2" s="10"/>
      <c r="D2" s="10"/>
      <c r="E2" s="2" t="s">
        <v>36</v>
      </c>
      <c r="F2" s="2" t="s">
        <v>36</v>
      </c>
      <c r="G2" s="2" t="s">
        <v>36</v>
      </c>
      <c r="H2" s="2" t="s">
        <v>36</v>
      </c>
      <c r="I2" s="2" t="s">
        <v>36</v>
      </c>
      <c r="J2" s="2" t="s">
        <v>36</v>
      </c>
      <c r="K2" s="2" t="s">
        <v>36</v>
      </c>
      <c r="L2" s="2" t="s">
        <v>36</v>
      </c>
      <c r="M2" s="2" t="s">
        <v>36</v>
      </c>
      <c r="N2" s="2" t="s">
        <v>36</v>
      </c>
      <c r="O2" s="2" t="s">
        <v>36</v>
      </c>
      <c r="P2" s="2" t="s">
        <v>36</v>
      </c>
      <c r="Q2" s="2" t="s">
        <v>36</v>
      </c>
      <c r="R2" s="2" t="s">
        <v>36</v>
      </c>
      <c r="S2" s="2" t="s">
        <v>36</v>
      </c>
      <c r="T2" s="2" t="s">
        <v>36</v>
      </c>
      <c r="U2" s="2" t="s">
        <v>36</v>
      </c>
      <c r="V2" s="2" t="s">
        <v>36</v>
      </c>
      <c r="W2" s="2" t="s">
        <v>36</v>
      </c>
      <c r="X2" s="2" t="s">
        <v>36</v>
      </c>
      <c r="Y2" s="2" t="s">
        <v>36</v>
      </c>
      <c r="Z2" s="2" t="s">
        <v>36</v>
      </c>
      <c r="AA2" s="2" t="s">
        <v>36</v>
      </c>
      <c r="AB2" s="2" t="s">
        <v>36</v>
      </c>
      <c r="AC2" s="2" t="s">
        <v>36</v>
      </c>
      <c r="AD2" s="2" t="s">
        <v>36</v>
      </c>
      <c r="AE2" s="2" t="s">
        <v>36</v>
      </c>
      <c r="AF2" s="2" t="s">
        <v>36</v>
      </c>
      <c r="AG2" s="2" t="s">
        <v>36</v>
      </c>
      <c r="AH2" s="2" t="s">
        <v>36</v>
      </c>
      <c r="AI2" s="2" t="s">
        <v>36</v>
      </c>
      <c r="AJ2" s="2" t="s">
        <v>36</v>
      </c>
      <c r="AK2" s="2" t="s">
        <v>36</v>
      </c>
      <c r="AL2" s="2" t="s">
        <v>36</v>
      </c>
    </row>
    <row r="3" spans="1:38" ht="11.1" customHeight="1" x14ac:dyDescent="0.2">
      <c r="A3" s="4" t="s">
        <v>37</v>
      </c>
      <c r="B3" s="4" t="s">
        <v>38</v>
      </c>
      <c r="C3" s="4" t="s">
        <v>1175</v>
      </c>
      <c r="D3" s="4">
        <v>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6">
        <v>2</v>
      </c>
      <c r="X3" s="5"/>
      <c r="Y3" s="5"/>
      <c r="Z3" s="6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>
        <v>4</v>
      </c>
    </row>
    <row r="4" spans="1:38" ht="11.1" customHeight="1" x14ac:dyDescent="0.2">
      <c r="A4" s="4" t="s">
        <v>39</v>
      </c>
      <c r="B4" s="4" t="s">
        <v>40</v>
      </c>
      <c r="C4" s="4" t="s">
        <v>1187</v>
      </c>
      <c r="D4" s="4">
        <v>0</v>
      </c>
      <c r="E4" s="6">
        <v>1</v>
      </c>
      <c r="F4" s="6">
        <v>4</v>
      </c>
      <c r="G4" s="6">
        <v>1</v>
      </c>
      <c r="H4" s="6">
        <v>1</v>
      </c>
      <c r="I4" s="6">
        <v>9</v>
      </c>
      <c r="J4" s="6">
        <v>4</v>
      </c>
      <c r="K4" s="6">
        <v>3</v>
      </c>
      <c r="L4" s="6">
        <v>74</v>
      </c>
      <c r="M4" s="6">
        <v>-34</v>
      </c>
      <c r="N4" s="6">
        <v>5</v>
      </c>
      <c r="O4" s="5"/>
      <c r="P4" s="6">
        <v>2</v>
      </c>
      <c r="Q4" s="5"/>
      <c r="R4" s="5"/>
      <c r="S4" s="5"/>
      <c r="T4" s="5"/>
      <c r="U4" s="5"/>
      <c r="V4" s="5"/>
      <c r="W4" s="5"/>
      <c r="X4" s="6">
        <v>3</v>
      </c>
      <c r="Y4" s="6">
        <v>3</v>
      </c>
      <c r="Z4" s="6">
        <v>9</v>
      </c>
      <c r="AA4" s="5"/>
      <c r="AB4" s="6">
        <v>15</v>
      </c>
      <c r="AC4" s="6">
        <v>8</v>
      </c>
      <c r="AD4" s="6">
        <v>7</v>
      </c>
      <c r="AE4" s="6">
        <v>4</v>
      </c>
      <c r="AF4" s="6">
        <v>19</v>
      </c>
      <c r="AG4" s="6">
        <v>45</v>
      </c>
      <c r="AH4" s="6">
        <v>4</v>
      </c>
      <c r="AI4" s="6">
        <v>5</v>
      </c>
      <c r="AJ4" s="5"/>
      <c r="AK4" s="6">
        <v>4</v>
      </c>
      <c r="AL4" s="6">
        <v>196</v>
      </c>
    </row>
    <row r="5" spans="1:38" ht="11.1" customHeight="1" x14ac:dyDescent="0.2">
      <c r="A5" s="4" t="s">
        <v>41</v>
      </c>
      <c r="B5" s="4" t="s">
        <v>42</v>
      </c>
      <c r="C5" s="4" t="s">
        <v>1176</v>
      </c>
      <c r="D5" s="4">
        <v>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>
        <v>4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>
        <v>4</v>
      </c>
    </row>
    <row r="6" spans="1:38" ht="11.1" customHeight="1" x14ac:dyDescent="0.2">
      <c r="A6" s="4" t="s">
        <v>43</v>
      </c>
      <c r="B6" s="4" t="s">
        <v>44</v>
      </c>
      <c r="C6" s="4" t="s">
        <v>1188</v>
      </c>
      <c r="D6" s="4">
        <v>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>
        <v>2</v>
      </c>
      <c r="AB6" s="5"/>
      <c r="AC6" s="6">
        <v>2</v>
      </c>
      <c r="AD6" s="6">
        <v>14</v>
      </c>
      <c r="AE6" s="5"/>
      <c r="AF6" s="5"/>
      <c r="AG6" s="5"/>
      <c r="AH6" s="5"/>
      <c r="AI6" s="5"/>
      <c r="AJ6" s="5"/>
      <c r="AK6" s="5"/>
      <c r="AL6" s="6">
        <v>18</v>
      </c>
    </row>
    <row r="7" spans="1:38" ht="11.1" customHeight="1" x14ac:dyDescent="0.2">
      <c r="A7" s="4" t="s">
        <v>45</v>
      </c>
      <c r="B7" s="4" t="s">
        <v>46</v>
      </c>
      <c r="C7" s="4" t="s">
        <v>1189</v>
      </c>
      <c r="D7" s="4">
        <v>0</v>
      </c>
      <c r="E7" s="5"/>
      <c r="F7" s="6">
        <v>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6">
        <v>120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>
        <v>122</v>
      </c>
    </row>
    <row r="8" spans="1:38" ht="11.1" customHeight="1" x14ac:dyDescent="0.2">
      <c r="A8" s="4" t="s">
        <v>47</v>
      </c>
      <c r="B8" s="4" t="s">
        <v>48</v>
      </c>
      <c r="C8" s="4" t="s">
        <v>1190</v>
      </c>
      <c r="D8" s="4">
        <v>0</v>
      </c>
      <c r="E8" s="6">
        <v>2</v>
      </c>
      <c r="F8" s="6">
        <v>1</v>
      </c>
      <c r="G8" s="6">
        <v>2</v>
      </c>
      <c r="H8" s="6">
        <v>6</v>
      </c>
      <c r="I8" s="6">
        <v>26</v>
      </c>
      <c r="J8" s="6">
        <v>1</v>
      </c>
      <c r="K8" s="5"/>
      <c r="L8" s="5"/>
      <c r="M8" s="5"/>
      <c r="N8" s="5"/>
      <c r="O8" s="5"/>
      <c r="P8" s="5"/>
      <c r="Q8" s="6">
        <v>2</v>
      </c>
      <c r="R8" s="5"/>
      <c r="S8" s="5"/>
      <c r="T8" s="5"/>
      <c r="U8" s="5"/>
      <c r="V8" s="6">
        <v>3</v>
      </c>
      <c r="W8" s="6">
        <v>10</v>
      </c>
      <c r="X8" s="6">
        <v>19</v>
      </c>
      <c r="Y8" s="6">
        <v>17</v>
      </c>
      <c r="Z8" s="6">
        <v>16</v>
      </c>
      <c r="AA8" s="6">
        <v>3</v>
      </c>
      <c r="AB8" s="6">
        <v>134</v>
      </c>
      <c r="AC8" s="5"/>
      <c r="AD8" s="5"/>
      <c r="AE8" s="5"/>
      <c r="AF8" s="6">
        <v>1</v>
      </c>
      <c r="AG8" s="6">
        <v>20</v>
      </c>
      <c r="AH8" s="5"/>
      <c r="AI8" s="5"/>
      <c r="AJ8" s="5"/>
      <c r="AK8" s="5"/>
      <c r="AL8" s="6">
        <v>263</v>
      </c>
    </row>
    <row r="9" spans="1:38" ht="11.1" customHeight="1" x14ac:dyDescent="0.2">
      <c r="A9" s="4" t="s">
        <v>49</v>
      </c>
      <c r="B9" s="4" t="s">
        <v>50</v>
      </c>
      <c r="C9" s="4" t="s">
        <v>1191</v>
      </c>
      <c r="D9" s="4">
        <v>20</v>
      </c>
      <c r="E9" s="6">
        <v>34</v>
      </c>
      <c r="F9" s="6">
        <v>22</v>
      </c>
      <c r="G9" s="6">
        <v>2</v>
      </c>
      <c r="H9" s="5"/>
      <c r="I9" s="6">
        <v>2</v>
      </c>
      <c r="J9" s="6">
        <v>67</v>
      </c>
      <c r="K9" s="5"/>
      <c r="L9" s="6">
        <v>16</v>
      </c>
      <c r="M9" s="5"/>
      <c r="N9" s="5"/>
      <c r="O9" s="5"/>
      <c r="P9" s="6">
        <v>8</v>
      </c>
      <c r="Q9" s="6">
        <v>1</v>
      </c>
      <c r="R9" s="5"/>
      <c r="S9" s="5"/>
      <c r="T9" s="5"/>
      <c r="U9" s="5"/>
      <c r="V9" s="5"/>
      <c r="W9" s="5"/>
      <c r="X9" s="5"/>
      <c r="Y9" s="6">
        <v>1</v>
      </c>
      <c r="Z9" s="5"/>
      <c r="AA9" s="6">
        <v>41</v>
      </c>
      <c r="AB9" s="6">
        <v>110</v>
      </c>
      <c r="AC9" s="6">
        <v>278</v>
      </c>
      <c r="AD9" s="6">
        <v>34</v>
      </c>
      <c r="AE9" s="6">
        <v>10</v>
      </c>
      <c r="AF9" s="6">
        <v>9</v>
      </c>
      <c r="AG9" s="5"/>
      <c r="AH9" s="5"/>
      <c r="AI9" s="5"/>
      <c r="AJ9" s="5"/>
      <c r="AK9" s="5"/>
      <c r="AL9" s="6">
        <v>635</v>
      </c>
    </row>
    <row r="10" spans="1:38" ht="11.1" customHeight="1" x14ac:dyDescent="0.2">
      <c r="A10" s="4" t="s">
        <v>51</v>
      </c>
      <c r="B10" s="4" t="s">
        <v>52</v>
      </c>
      <c r="C10" s="4" t="s">
        <v>1192</v>
      </c>
      <c r="D10" s="4">
        <v>12</v>
      </c>
      <c r="E10" s="5"/>
      <c r="F10" s="6">
        <v>3</v>
      </c>
      <c r="G10" s="6">
        <v>5</v>
      </c>
      <c r="H10" s="6">
        <v>1</v>
      </c>
      <c r="I10" s="6">
        <v>27</v>
      </c>
      <c r="J10" s="5"/>
      <c r="K10" s="5"/>
      <c r="L10" s="5"/>
      <c r="M10" s="5"/>
      <c r="N10" s="5"/>
      <c r="O10" s="5"/>
      <c r="P10" s="6">
        <v>1</v>
      </c>
      <c r="Q10" s="5"/>
      <c r="R10" s="5"/>
      <c r="S10" s="5"/>
      <c r="T10" s="5"/>
      <c r="U10" s="5"/>
      <c r="V10" s="5"/>
      <c r="W10" s="6">
        <v>1</v>
      </c>
      <c r="X10" s="5"/>
      <c r="Y10" s="6">
        <v>2</v>
      </c>
      <c r="Z10" s="5"/>
      <c r="AA10" s="6">
        <v>2</v>
      </c>
      <c r="AB10" s="6">
        <v>38</v>
      </c>
      <c r="AC10" s="6">
        <v>2</v>
      </c>
      <c r="AD10" s="6">
        <v>16</v>
      </c>
      <c r="AE10" s="6">
        <v>21</v>
      </c>
      <c r="AF10" s="6">
        <v>13</v>
      </c>
      <c r="AG10" s="6">
        <v>46</v>
      </c>
      <c r="AH10" s="6">
        <v>44</v>
      </c>
      <c r="AI10" s="6">
        <v>46</v>
      </c>
      <c r="AJ10" s="6">
        <v>18</v>
      </c>
      <c r="AK10" s="5"/>
      <c r="AL10" s="6">
        <v>286</v>
      </c>
    </row>
    <row r="11" spans="1:38" ht="11.1" customHeight="1" x14ac:dyDescent="0.2">
      <c r="A11" s="4" t="s">
        <v>53</v>
      </c>
      <c r="B11" s="4" t="s">
        <v>54</v>
      </c>
      <c r="C11" s="4" t="s">
        <v>1193</v>
      </c>
      <c r="D11" s="4">
        <v>6</v>
      </c>
      <c r="E11" s="6">
        <v>20</v>
      </c>
      <c r="F11" s="6">
        <v>3</v>
      </c>
      <c r="G11" s="5"/>
      <c r="H11" s="6">
        <v>2</v>
      </c>
      <c r="I11" s="6">
        <v>6</v>
      </c>
      <c r="J11" s="6">
        <v>20</v>
      </c>
      <c r="K11" s="5"/>
      <c r="L11" s="5"/>
      <c r="M11" s="5"/>
      <c r="N11" s="5"/>
      <c r="O11" s="5"/>
      <c r="P11" s="5"/>
      <c r="Q11" s="5"/>
      <c r="R11" s="5"/>
      <c r="S11" s="5"/>
      <c r="T11" s="6">
        <v>1</v>
      </c>
      <c r="U11" s="5"/>
      <c r="V11" s="5"/>
      <c r="W11" s="5"/>
      <c r="X11" s="6">
        <v>2</v>
      </c>
      <c r="Y11" s="6">
        <v>21</v>
      </c>
      <c r="Z11" s="6">
        <v>-4</v>
      </c>
      <c r="AA11" s="6">
        <v>1</v>
      </c>
      <c r="AB11" s="6">
        <v>100</v>
      </c>
      <c r="AC11" s="6">
        <v>82</v>
      </c>
      <c r="AD11" s="6">
        <v>6</v>
      </c>
      <c r="AE11" s="6">
        <v>5</v>
      </c>
      <c r="AF11" s="6">
        <v>35</v>
      </c>
      <c r="AG11" s="6">
        <v>11</v>
      </c>
      <c r="AH11" s="6">
        <v>23</v>
      </c>
      <c r="AI11" s="5"/>
      <c r="AJ11" s="6">
        <v>24</v>
      </c>
      <c r="AK11" s="6">
        <v>5</v>
      </c>
      <c r="AL11" s="6">
        <v>363</v>
      </c>
    </row>
    <row r="12" spans="1:38" ht="11.1" customHeight="1" x14ac:dyDescent="0.2">
      <c r="A12" s="4" t="s">
        <v>55</v>
      </c>
      <c r="B12" s="4" t="s">
        <v>56</v>
      </c>
      <c r="C12" s="4" t="s">
        <v>1194</v>
      </c>
      <c r="D12" s="4">
        <v>10</v>
      </c>
      <c r="E12" s="6">
        <v>10</v>
      </c>
      <c r="F12" s="6">
        <v>2</v>
      </c>
      <c r="G12" s="5"/>
      <c r="H12" s="5"/>
      <c r="I12" s="5"/>
      <c r="J12" s="5"/>
      <c r="K12" s="5"/>
      <c r="L12" s="6">
        <v>5</v>
      </c>
      <c r="M12" s="6">
        <v>1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6">
        <v>2</v>
      </c>
      <c r="Y12" s="5"/>
      <c r="Z12" s="5"/>
      <c r="AA12" s="5"/>
      <c r="AB12" s="6">
        <v>1</v>
      </c>
      <c r="AC12" s="6">
        <v>2</v>
      </c>
      <c r="AD12" s="6">
        <v>21</v>
      </c>
      <c r="AE12" s="5"/>
      <c r="AF12" s="6">
        <v>83</v>
      </c>
      <c r="AG12" s="6">
        <v>35</v>
      </c>
      <c r="AH12" s="6">
        <v>11</v>
      </c>
      <c r="AI12" s="6">
        <v>27</v>
      </c>
      <c r="AJ12" s="6">
        <v>30</v>
      </c>
      <c r="AK12" s="6">
        <v>64</v>
      </c>
      <c r="AL12" s="6">
        <v>294</v>
      </c>
    </row>
    <row r="13" spans="1:38" ht="11.1" customHeight="1" x14ac:dyDescent="0.2">
      <c r="A13" s="4" t="s">
        <v>57</v>
      </c>
      <c r="B13" s="4" t="s">
        <v>58</v>
      </c>
      <c r="C13" s="4" t="s">
        <v>1195</v>
      </c>
      <c r="D13" s="4">
        <v>0</v>
      </c>
      <c r="E13" s="5"/>
      <c r="F13" s="5"/>
      <c r="G13" s="5"/>
      <c r="H13" s="5"/>
      <c r="I13" s="5"/>
      <c r="J13" s="6">
        <v>2</v>
      </c>
      <c r="K13" s="5"/>
      <c r="L13" s="5"/>
      <c r="M13" s="6">
        <v>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>
        <v>3</v>
      </c>
    </row>
    <row r="14" spans="1:38" ht="11.1" customHeight="1" x14ac:dyDescent="0.2">
      <c r="A14" s="4" t="s">
        <v>59</v>
      </c>
      <c r="B14" s="4" t="s">
        <v>60</v>
      </c>
      <c r="C14" s="4" t="s">
        <v>1196</v>
      </c>
      <c r="D14" s="4">
        <v>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>
        <v>1</v>
      </c>
      <c r="W14" s="5"/>
      <c r="X14" s="5"/>
      <c r="Y14" s="5"/>
      <c r="Z14" s="5"/>
      <c r="AA14" s="6">
        <v>1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>
        <v>2</v>
      </c>
    </row>
    <row r="15" spans="1:38" ht="11.1" customHeight="1" x14ac:dyDescent="0.2">
      <c r="A15" s="4" t="s">
        <v>61</v>
      </c>
      <c r="B15" s="4" t="s">
        <v>62</v>
      </c>
      <c r="C15" s="4" t="s">
        <v>1197</v>
      </c>
      <c r="D15" s="4">
        <v>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>
        <v>2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>
        <v>2</v>
      </c>
    </row>
    <row r="16" spans="1:38" ht="11.1" customHeight="1" x14ac:dyDescent="0.2">
      <c r="A16" s="4" t="s">
        <v>63</v>
      </c>
      <c r="B16" s="4" t="s">
        <v>64</v>
      </c>
      <c r="C16" s="4" t="s">
        <v>1198</v>
      </c>
      <c r="D16" s="4">
        <v>10</v>
      </c>
      <c r="E16" s="6">
        <v>3</v>
      </c>
      <c r="F16" s="5"/>
      <c r="G16" s="5"/>
      <c r="H16" s="6">
        <v>1</v>
      </c>
      <c r="I16" s="5"/>
      <c r="J16" s="6">
        <v>28</v>
      </c>
      <c r="K16" s="5"/>
      <c r="L16" s="6">
        <v>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6">
        <v>1</v>
      </c>
      <c r="AE16" s="5"/>
      <c r="AF16" s="6">
        <v>1</v>
      </c>
      <c r="AG16" s="5"/>
      <c r="AH16" s="5"/>
      <c r="AI16" s="5"/>
      <c r="AJ16" s="5"/>
      <c r="AK16" s="5"/>
      <c r="AL16" s="6">
        <v>36</v>
      </c>
    </row>
    <row r="17" spans="1:38" ht="23.1" customHeight="1" x14ac:dyDescent="0.2">
      <c r="A17" s="4" t="s">
        <v>65</v>
      </c>
      <c r="B17" s="4" t="s">
        <v>66</v>
      </c>
      <c r="C17" s="4" t="s">
        <v>1199</v>
      </c>
      <c r="D17" s="4">
        <v>175</v>
      </c>
      <c r="E17" s="6">
        <v>596</v>
      </c>
      <c r="F17" s="6">
        <v>229</v>
      </c>
      <c r="G17" s="6">
        <v>347</v>
      </c>
      <c r="H17" s="6">
        <v>824</v>
      </c>
      <c r="I17" s="7">
        <v>1433</v>
      </c>
      <c r="J17" s="7">
        <v>1162</v>
      </c>
      <c r="K17" s="6">
        <v>843</v>
      </c>
      <c r="L17" s="6">
        <v>237</v>
      </c>
      <c r="M17" s="6">
        <v>776</v>
      </c>
      <c r="N17" s="7">
        <v>1211</v>
      </c>
      <c r="O17" s="7">
        <v>1005</v>
      </c>
      <c r="P17" s="6">
        <v>373</v>
      </c>
      <c r="Q17" s="6">
        <v>579</v>
      </c>
      <c r="R17" s="6">
        <v>383</v>
      </c>
      <c r="S17" s="6">
        <v>944</v>
      </c>
      <c r="T17" s="6">
        <v>614</v>
      </c>
      <c r="U17" s="6">
        <v>480</v>
      </c>
      <c r="V17" s="6">
        <v>764</v>
      </c>
      <c r="W17" s="6">
        <v>581</v>
      </c>
      <c r="X17" s="6">
        <v>621</v>
      </c>
      <c r="Y17" s="6">
        <v>959</v>
      </c>
      <c r="Z17" s="6">
        <v>164</v>
      </c>
      <c r="AA17" s="6">
        <v>265</v>
      </c>
      <c r="AB17" s="6">
        <v>227</v>
      </c>
      <c r="AC17" s="6">
        <v>878</v>
      </c>
      <c r="AD17" s="7">
        <v>1411</v>
      </c>
      <c r="AE17" s="7">
        <v>1586</v>
      </c>
      <c r="AF17" s="6">
        <v>106</v>
      </c>
      <c r="AG17" s="6">
        <v>535</v>
      </c>
      <c r="AH17" s="6">
        <v>227</v>
      </c>
      <c r="AI17" s="7">
        <v>1232</v>
      </c>
      <c r="AJ17" s="7">
        <v>1701</v>
      </c>
      <c r="AK17" s="6">
        <v>398</v>
      </c>
      <c r="AL17" s="7">
        <v>23691</v>
      </c>
    </row>
    <row r="18" spans="1:38" ht="23.1" customHeight="1" x14ac:dyDescent="0.2">
      <c r="A18" s="4" t="s">
        <v>67</v>
      </c>
      <c r="B18" s="4" t="s">
        <v>68</v>
      </c>
      <c r="C18" s="4" t="s">
        <v>1200</v>
      </c>
      <c r="D18" s="4">
        <v>108</v>
      </c>
      <c r="E18" s="6">
        <v>54</v>
      </c>
      <c r="F18" s="6">
        <v>20</v>
      </c>
      <c r="G18" s="6">
        <v>109</v>
      </c>
      <c r="H18" s="5"/>
      <c r="I18" s="5"/>
      <c r="J18" s="6">
        <v>50</v>
      </c>
      <c r="K18" s="6">
        <v>50</v>
      </c>
      <c r="L18" s="6">
        <v>15</v>
      </c>
      <c r="M18" s="6">
        <v>71</v>
      </c>
      <c r="N18" s="6">
        <v>20</v>
      </c>
      <c r="O18" s="6">
        <v>6</v>
      </c>
      <c r="P18" s="6">
        <v>50</v>
      </c>
      <c r="Q18" s="6">
        <v>149</v>
      </c>
      <c r="R18" s="6">
        <v>111</v>
      </c>
      <c r="S18" s="6">
        <v>108</v>
      </c>
      <c r="T18" s="6">
        <v>1</v>
      </c>
      <c r="U18" s="5"/>
      <c r="V18" s="5"/>
      <c r="W18" s="6">
        <v>3</v>
      </c>
      <c r="X18" s="6">
        <v>195</v>
      </c>
      <c r="Y18" s="5"/>
      <c r="Z18" s="6">
        <v>80</v>
      </c>
      <c r="AA18" s="6">
        <v>2</v>
      </c>
      <c r="AB18" s="5"/>
      <c r="AC18" s="6">
        <v>8</v>
      </c>
      <c r="AD18" s="5"/>
      <c r="AE18" s="5"/>
      <c r="AF18" s="5"/>
      <c r="AG18" s="5"/>
      <c r="AH18" s="5"/>
      <c r="AI18" s="5"/>
      <c r="AJ18" s="5"/>
      <c r="AK18" s="5"/>
      <c r="AL18" s="7">
        <v>1102</v>
      </c>
    </row>
    <row r="19" spans="1:38" ht="23.1" customHeight="1" x14ac:dyDescent="0.2">
      <c r="A19" s="4" t="s">
        <v>69</v>
      </c>
      <c r="B19" s="4" t="s">
        <v>70</v>
      </c>
      <c r="C19" s="4" t="s">
        <v>1201</v>
      </c>
      <c r="D19" s="4">
        <v>72</v>
      </c>
      <c r="E19" s="6">
        <v>814</v>
      </c>
      <c r="F19" s="6">
        <v>52</v>
      </c>
      <c r="G19" s="6">
        <v>359</v>
      </c>
      <c r="H19" s="7">
        <v>1487</v>
      </c>
      <c r="I19" s="7">
        <v>1257</v>
      </c>
      <c r="J19" s="7">
        <v>1217</v>
      </c>
      <c r="K19" s="7">
        <v>1978</v>
      </c>
      <c r="L19" s="7">
        <v>2181</v>
      </c>
      <c r="M19" s="7">
        <v>1444</v>
      </c>
      <c r="N19" s="7">
        <v>1525</v>
      </c>
      <c r="O19" s="7">
        <v>1505</v>
      </c>
      <c r="P19" s="6">
        <v>872</v>
      </c>
      <c r="Q19" s="6">
        <v>747</v>
      </c>
      <c r="R19" s="7">
        <v>1307</v>
      </c>
      <c r="S19" s="6">
        <v>906</v>
      </c>
      <c r="T19" s="7">
        <v>1229</v>
      </c>
      <c r="U19" s="7">
        <v>1883</v>
      </c>
      <c r="V19" s="7">
        <v>2328</v>
      </c>
      <c r="W19" s="7">
        <v>1252</v>
      </c>
      <c r="X19" s="7">
        <v>1464</v>
      </c>
      <c r="Y19" s="6">
        <v>973</v>
      </c>
      <c r="Z19" s="7">
        <v>1661</v>
      </c>
      <c r="AA19" s="7">
        <v>1287</v>
      </c>
      <c r="AB19" s="6">
        <v>892</v>
      </c>
      <c r="AC19" s="6">
        <v>860</v>
      </c>
      <c r="AD19" s="6">
        <v>736</v>
      </c>
      <c r="AE19" s="7">
        <v>1267</v>
      </c>
      <c r="AF19" s="7">
        <v>1202</v>
      </c>
      <c r="AG19" s="7">
        <v>2037</v>
      </c>
      <c r="AH19" s="7">
        <v>1841</v>
      </c>
      <c r="AI19" s="7">
        <v>1635</v>
      </c>
      <c r="AJ19" s="7">
        <v>1662</v>
      </c>
      <c r="AK19" s="7">
        <v>1092</v>
      </c>
      <c r="AL19" s="7">
        <v>42952</v>
      </c>
    </row>
    <row r="20" spans="1:38" ht="23.1" customHeight="1" x14ac:dyDescent="0.2">
      <c r="A20" s="4" t="s">
        <v>71</v>
      </c>
      <c r="B20" s="4" t="s">
        <v>72</v>
      </c>
      <c r="C20" s="4" t="s">
        <v>1202</v>
      </c>
      <c r="D20" s="4">
        <v>84</v>
      </c>
      <c r="E20" s="6">
        <v>991</v>
      </c>
      <c r="F20" s="7">
        <v>8156</v>
      </c>
      <c r="G20" s="7">
        <v>1109</v>
      </c>
      <c r="H20" s="7">
        <v>2538</v>
      </c>
      <c r="I20" s="7">
        <v>3320</v>
      </c>
      <c r="J20" s="7">
        <v>1846</v>
      </c>
      <c r="K20" s="7">
        <v>3399</v>
      </c>
      <c r="L20" s="7">
        <v>2723</v>
      </c>
      <c r="M20" s="7">
        <v>2476</v>
      </c>
      <c r="N20" s="7">
        <v>2858</v>
      </c>
      <c r="O20" s="7">
        <v>1388</v>
      </c>
      <c r="P20" s="7">
        <v>1186</v>
      </c>
      <c r="Q20" s="7">
        <v>5141</v>
      </c>
      <c r="R20" s="7">
        <v>3492</v>
      </c>
      <c r="S20" s="7">
        <v>3656</v>
      </c>
      <c r="T20" s="7">
        <v>3658</v>
      </c>
      <c r="U20" s="7">
        <v>3963</v>
      </c>
      <c r="V20" s="7">
        <v>5211</v>
      </c>
      <c r="W20" s="7">
        <v>10609</v>
      </c>
      <c r="X20" s="7">
        <v>7696</v>
      </c>
      <c r="Y20" s="7">
        <v>4320</v>
      </c>
      <c r="Z20" s="7">
        <v>2560</v>
      </c>
      <c r="AA20" s="7">
        <v>10940</v>
      </c>
      <c r="AB20" s="7">
        <v>2129</v>
      </c>
      <c r="AC20" s="7">
        <v>2278</v>
      </c>
      <c r="AD20" s="7">
        <v>13213</v>
      </c>
      <c r="AE20" s="7">
        <v>1574</v>
      </c>
      <c r="AF20" s="7">
        <v>3427</v>
      </c>
      <c r="AG20" s="7">
        <v>15087</v>
      </c>
      <c r="AH20" s="7">
        <v>4807</v>
      </c>
      <c r="AI20" s="7">
        <v>3680</v>
      </c>
      <c r="AJ20" s="7">
        <v>3555</v>
      </c>
      <c r="AK20" s="7">
        <v>2979</v>
      </c>
      <c r="AL20" s="7">
        <v>145965</v>
      </c>
    </row>
    <row r="21" spans="1:38" ht="23.1" customHeight="1" x14ac:dyDescent="0.2">
      <c r="A21" s="4" t="s">
        <v>73</v>
      </c>
      <c r="B21" s="4" t="s">
        <v>74</v>
      </c>
      <c r="C21" s="4" t="s">
        <v>1203</v>
      </c>
      <c r="D21" s="4">
        <v>100</v>
      </c>
      <c r="E21" s="5"/>
      <c r="F21" s="5"/>
      <c r="G21" s="5"/>
      <c r="H21" s="6">
        <v>2</v>
      </c>
      <c r="I21" s="6">
        <v>3</v>
      </c>
      <c r="J21" s="6">
        <v>59</v>
      </c>
      <c r="K21" s="6">
        <v>31</v>
      </c>
      <c r="L21" s="5"/>
      <c r="M21" s="6">
        <v>30</v>
      </c>
      <c r="N21" s="6">
        <v>2</v>
      </c>
      <c r="O21" s="6">
        <v>46</v>
      </c>
      <c r="P21" s="6">
        <v>10</v>
      </c>
      <c r="Q21" s="6">
        <v>1</v>
      </c>
      <c r="R21" s="6">
        <v>10</v>
      </c>
      <c r="S21" s="6">
        <v>10</v>
      </c>
      <c r="T21" s="5"/>
      <c r="U21" s="5"/>
      <c r="V21" s="6">
        <v>40</v>
      </c>
      <c r="W21" s="6">
        <v>60</v>
      </c>
      <c r="X21" s="6">
        <v>95</v>
      </c>
      <c r="Y21" s="5"/>
      <c r="Z21" s="5"/>
      <c r="AA21" s="6">
        <v>1</v>
      </c>
      <c r="AB21" s="5"/>
      <c r="AC21" s="5"/>
      <c r="AD21" s="6">
        <v>5</v>
      </c>
      <c r="AE21" s="5"/>
      <c r="AF21" s="5"/>
      <c r="AG21" s="5"/>
      <c r="AH21" s="5"/>
      <c r="AI21" s="6">
        <v>5</v>
      </c>
      <c r="AJ21" s="6">
        <v>5</v>
      </c>
      <c r="AK21" s="6">
        <v>2</v>
      </c>
      <c r="AL21" s="6">
        <v>417</v>
      </c>
    </row>
    <row r="22" spans="1:38" ht="23.1" customHeight="1" x14ac:dyDescent="0.2">
      <c r="A22" s="4" t="s">
        <v>75</v>
      </c>
      <c r="B22" s="4" t="s">
        <v>76</v>
      </c>
      <c r="C22" s="4" t="s">
        <v>1204</v>
      </c>
      <c r="D22" s="4">
        <v>56</v>
      </c>
      <c r="E22" s="6">
        <v>50</v>
      </c>
      <c r="F22" s="6">
        <v>55</v>
      </c>
      <c r="G22" s="6">
        <v>80</v>
      </c>
      <c r="H22" s="6">
        <v>56</v>
      </c>
      <c r="I22" s="6">
        <v>156</v>
      </c>
      <c r="J22" s="6">
        <v>111</v>
      </c>
      <c r="K22" s="6">
        <v>251</v>
      </c>
      <c r="L22" s="6">
        <v>250</v>
      </c>
      <c r="M22" s="6">
        <v>216</v>
      </c>
      <c r="N22" s="6">
        <v>201</v>
      </c>
      <c r="O22" s="6">
        <v>142</v>
      </c>
      <c r="P22" s="6">
        <v>3</v>
      </c>
      <c r="Q22" s="5"/>
      <c r="R22" s="6">
        <v>34</v>
      </c>
      <c r="S22" s="7">
        <v>1814</v>
      </c>
      <c r="T22" s="6">
        <v>191</v>
      </c>
      <c r="U22" s="7">
        <v>1395</v>
      </c>
      <c r="V22" s="5"/>
      <c r="W22" s="6">
        <v>601</v>
      </c>
      <c r="X22" s="6">
        <v>361</v>
      </c>
      <c r="Y22" s="6">
        <v>241</v>
      </c>
      <c r="Z22" s="6">
        <v>912</v>
      </c>
      <c r="AA22" s="6">
        <v>324</v>
      </c>
      <c r="AB22" s="6">
        <v>61</v>
      </c>
      <c r="AC22" s="6">
        <v>301</v>
      </c>
      <c r="AD22" s="6">
        <v>506</v>
      </c>
      <c r="AE22" s="6">
        <v>260</v>
      </c>
      <c r="AF22" s="6">
        <v>392</v>
      </c>
      <c r="AG22" s="6">
        <v>1</v>
      </c>
      <c r="AH22" s="6">
        <v>295</v>
      </c>
      <c r="AI22" s="6">
        <v>9</v>
      </c>
      <c r="AJ22" s="6">
        <v>5</v>
      </c>
      <c r="AK22" s="6">
        <v>186</v>
      </c>
      <c r="AL22" s="7">
        <v>9460</v>
      </c>
    </row>
    <row r="23" spans="1:38" ht="11.1" customHeight="1" x14ac:dyDescent="0.2">
      <c r="A23" s="4" t="s">
        <v>77</v>
      </c>
      <c r="B23" s="4" t="s">
        <v>78</v>
      </c>
      <c r="C23" s="4" t="s">
        <v>1205</v>
      </c>
      <c r="D23" s="4">
        <v>3780</v>
      </c>
      <c r="E23" s="7">
        <v>16194</v>
      </c>
      <c r="F23" s="7">
        <v>1997</v>
      </c>
      <c r="G23" s="7">
        <v>4511</v>
      </c>
      <c r="H23" s="7">
        <v>17153</v>
      </c>
      <c r="I23" s="7">
        <v>14937</v>
      </c>
      <c r="J23" s="7">
        <v>18705</v>
      </c>
      <c r="K23" s="7">
        <v>17311</v>
      </c>
      <c r="L23" s="7">
        <v>21000</v>
      </c>
      <c r="M23" s="7">
        <v>16565</v>
      </c>
      <c r="N23" s="7">
        <v>22804</v>
      </c>
      <c r="O23" s="7">
        <v>17450</v>
      </c>
      <c r="P23" s="7">
        <v>13211</v>
      </c>
      <c r="Q23" s="7">
        <v>16307</v>
      </c>
      <c r="R23" s="7">
        <v>22560</v>
      </c>
      <c r="S23" s="7">
        <v>21882</v>
      </c>
      <c r="T23" s="7">
        <v>25710</v>
      </c>
      <c r="U23" s="7">
        <v>17627</v>
      </c>
      <c r="V23" s="7">
        <v>25136</v>
      </c>
      <c r="W23" s="7">
        <v>23583</v>
      </c>
      <c r="X23" s="7">
        <v>22259</v>
      </c>
      <c r="Y23" s="7">
        <v>15925</v>
      </c>
      <c r="Z23" s="7">
        <v>25149</v>
      </c>
      <c r="AA23" s="7">
        <v>27153</v>
      </c>
      <c r="AB23" s="7">
        <v>24955</v>
      </c>
      <c r="AC23" s="7">
        <v>18659</v>
      </c>
      <c r="AD23" s="7">
        <v>24170</v>
      </c>
      <c r="AE23" s="7">
        <v>21684</v>
      </c>
      <c r="AF23" s="7">
        <v>23991</v>
      </c>
      <c r="AG23" s="7">
        <v>24783</v>
      </c>
      <c r="AH23" s="7">
        <v>29064</v>
      </c>
      <c r="AI23" s="7">
        <v>39200</v>
      </c>
      <c r="AJ23" s="7">
        <v>36290</v>
      </c>
      <c r="AK23" s="7">
        <v>27768</v>
      </c>
      <c r="AL23" s="7">
        <v>695693</v>
      </c>
    </row>
    <row r="24" spans="1:38" ht="11.1" customHeight="1" x14ac:dyDescent="0.2">
      <c r="A24" s="4" t="s">
        <v>79</v>
      </c>
      <c r="B24" s="4" t="s">
        <v>80</v>
      </c>
      <c r="C24" s="4" t="s">
        <v>1206</v>
      </c>
      <c r="D24" s="4">
        <v>120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7">
        <v>1117</v>
      </c>
      <c r="AG24" s="7">
        <v>4717</v>
      </c>
      <c r="AH24" s="7">
        <v>6747</v>
      </c>
      <c r="AI24" s="7">
        <v>4209</v>
      </c>
      <c r="AJ24" s="7">
        <v>3754</v>
      </c>
      <c r="AK24" s="7">
        <v>2870</v>
      </c>
      <c r="AL24" s="7">
        <v>23414</v>
      </c>
    </row>
    <row r="25" spans="1:38" ht="11.1" customHeight="1" x14ac:dyDescent="0.2">
      <c r="A25" s="4" t="s">
        <v>81</v>
      </c>
      <c r="B25" s="4" t="s">
        <v>82</v>
      </c>
      <c r="C25" s="4" t="s">
        <v>1207</v>
      </c>
      <c r="D25" s="4">
        <v>3600</v>
      </c>
      <c r="E25" s="7">
        <v>30221</v>
      </c>
      <c r="F25" s="7">
        <v>9565</v>
      </c>
      <c r="G25" s="7">
        <v>25484</v>
      </c>
      <c r="H25" s="7">
        <v>42968</v>
      </c>
      <c r="I25" s="7">
        <v>32348</v>
      </c>
      <c r="J25" s="7">
        <v>41426</v>
      </c>
      <c r="K25" s="7">
        <v>40484</v>
      </c>
      <c r="L25" s="7">
        <v>50017</v>
      </c>
      <c r="M25" s="7">
        <v>65894</v>
      </c>
      <c r="N25" s="7">
        <v>42301</v>
      </c>
      <c r="O25" s="7">
        <v>40967</v>
      </c>
      <c r="P25" s="7">
        <v>36204</v>
      </c>
      <c r="Q25" s="7">
        <v>53478</v>
      </c>
      <c r="R25" s="7">
        <v>43751</v>
      </c>
      <c r="S25" s="7">
        <v>54311</v>
      </c>
      <c r="T25" s="7">
        <v>52084</v>
      </c>
      <c r="U25" s="7">
        <v>50676</v>
      </c>
      <c r="V25" s="7">
        <v>62934</v>
      </c>
      <c r="W25" s="7">
        <v>60436</v>
      </c>
      <c r="X25" s="7">
        <v>50757</v>
      </c>
      <c r="Y25" s="7">
        <v>53879</v>
      </c>
      <c r="Z25" s="7">
        <v>61615</v>
      </c>
      <c r="AA25" s="7">
        <v>67138</v>
      </c>
      <c r="AB25" s="7">
        <v>45625</v>
      </c>
      <c r="AC25" s="7">
        <v>35240</v>
      </c>
      <c r="AD25" s="7">
        <v>33467</v>
      </c>
      <c r="AE25" s="7">
        <v>42728</v>
      </c>
      <c r="AF25" s="7">
        <v>49395</v>
      </c>
      <c r="AG25" s="7">
        <v>53354</v>
      </c>
      <c r="AH25" s="7">
        <v>64228</v>
      </c>
      <c r="AI25" s="7">
        <v>66114</v>
      </c>
      <c r="AJ25" s="7">
        <v>63939</v>
      </c>
      <c r="AK25" s="7">
        <v>50941</v>
      </c>
      <c r="AL25" s="7">
        <v>1573969</v>
      </c>
    </row>
    <row r="26" spans="1:38" ht="11.1" customHeight="1" x14ac:dyDescent="0.2">
      <c r="A26" s="4" t="s">
        <v>83</v>
      </c>
      <c r="B26" s="4" t="s">
        <v>84</v>
      </c>
      <c r="C26" s="4" t="s">
        <v>1208</v>
      </c>
      <c r="D26" s="4">
        <v>120</v>
      </c>
      <c r="E26" s="7">
        <v>10996</v>
      </c>
      <c r="F26" s="7">
        <v>2295</v>
      </c>
      <c r="G26" s="7">
        <v>8418</v>
      </c>
      <c r="H26" s="7">
        <v>15383</v>
      </c>
      <c r="I26" s="7">
        <v>11814</v>
      </c>
      <c r="J26" s="7">
        <v>15101</v>
      </c>
      <c r="K26" s="7">
        <v>11394</v>
      </c>
      <c r="L26" s="7">
        <v>14308</v>
      </c>
      <c r="M26" s="7">
        <v>19166</v>
      </c>
      <c r="N26" s="7">
        <v>14688</v>
      </c>
      <c r="O26" s="7">
        <v>14065</v>
      </c>
      <c r="P26" s="7">
        <v>11283</v>
      </c>
      <c r="Q26" s="7">
        <v>20124</v>
      </c>
      <c r="R26" s="7">
        <v>14561</v>
      </c>
      <c r="S26" s="7">
        <v>15620</v>
      </c>
      <c r="T26" s="7">
        <v>19797</v>
      </c>
      <c r="U26" s="7">
        <v>20724</v>
      </c>
      <c r="V26" s="7">
        <v>19636</v>
      </c>
      <c r="W26" s="7">
        <v>21655</v>
      </c>
      <c r="X26" s="7">
        <v>18797</v>
      </c>
      <c r="Y26" s="7">
        <v>25145</v>
      </c>
      <c r="Z26" s="7">
        <v>22466</v>
      </c>
      <c r="AA26" s="7">
        <v>15980</v>
      </c>
      <c r="AB26" s="7">
        <v>17255</v>
      </c>
      <c r="AC26" s="7">
        <v>17268</v>
      </c>
      <c r="AD26" s="7">
        <v>14645</v>
      </c>
      <c r="AE26" s="7">
        <v>19937</v>
      </c>
      <c r="AF26" s="7">
        <v>25870</v>
      </c>
      <c r="AG26" s="7">
        <v>23330</v>
      </c>
      <c r="AH26" s="7">
        <v>24199</v>
      </c>
      <c r="AI26" s="7">
        <v>26986</v>
      </c>
      <c r="AJ26" s="7">
        <v>25401</v>
      </c>
      <c r="AK26" s="7">
        <v>21765</v>
      </c>
      <c r="AL26" s="7">
        <v>580072</v>
      </c>
    </row>
    <row r="27" spans="1:38" ht="11.1" customHeight="1" x14ac:dyDescent="0.2">
      <c r="A27" s="4" t="s">
        <v>85</v>
      </c>
      <c r="B27" s="4" t="s">
        <v>86</v>
      </c>
      <c r="C27" s="4" t="s">
        <v>1209</v>
      </c>
      <c r="D27" s="4">
        <v>10</v>
      </c>
      <c r="E27" s="6">
        <v>346</v>
      </c>
      <c r="F27" s="6">
        <v>335</v>
      </c>
      <c r="G27" s="6">
        <v>233</v>
      </c>
      <c r="H27" s="6">
        <v>525</v>
      </c>
      <c r="I27" s="6">
        <v>546</v>
      </c>
      <c r="J27" s="6">
        <v>541</v>
      </c>
      <c r="K27" s="6">
        <v>508</v>
      </c>
      <c r="L27" s="6">
        <v>707</v>
      </c>
      <c r="M27" s="6">
        <v>359</v>
      </c>
      <c r="N27" s="6">
        <v>384</v>
      </c>
      <c r="O27" s="6">
        <v>253</v>
      </c>
      <c r="P27" s="6">
        <v>530</v>
      </c>
      <c r="Q27" s="6">
        <v>610</v>
      </c>
      <c r="R27" s="6">
        <v>394</v>
      </c>
      <c r="S27" s="6">
        <v>444</v>
      </c>
      <c r="T27" s="6">
        <v>104</v>
      </c>
      <c r="U27" s="6">
        <v>589</v>
      </c>
      <c r="V27" s="6">
        <v>413</v>
      </c>
      <c r="W27" s="6">
        <v>379</v>
      </c>
      <c r="X27" s="6">
        <v>170</v>
      </c>
      <c r="Y27" s="6">
        <v>806</v>
      </c>
      <c r="Z27" s="6">
        <v>212</v>
      </c>
      <c r="AA27" s="6">
        <v>353</v>
      </c>
      <c r="AB27" s="6">
        <v>724</v>
      </c>
      <c r="AC27" s="6">
        <v>111</v>
      </c>
      <c r="AD27" s="6">
        <v>152</v>
      </c>
      <c r="AE27" s="6">
        <v>380</v>
      </c>
      <c r="AF27" s="6">
        <v>209</v>
      </c>
      <c r="AG27" s="6">
        <v>122</v>
      </c>
      <c r="AH27" s="6">
        <v>310</v>
      </c>
      <c r="AI27" s="6">
        <v>135</v>
      </c>
      <c r="AJ27" s="6">
        <v>124</v>
      </c>
      <c r="AK27" s="6">
        <v>81</v>
      </c>
      <c r="AL27" s="7">
        <v>12089</v>
      </c>
    </row>
    <row r="28" spans="1:38" ht="23.1" customHeight="1" x14ac:dyDescent="0.2">
      <c r="A28" s="4" t="s">
        <v>87</v>
      </c>
      <c r="B28" s="4" t="s">
        <v>88</v>
      </c>
      <c r="C28" s="4" t="s">
        <v>88</v>
      </c>
      <c r="D28" s="4">
        <v>12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6">
        <v>6</v>
      </c>
      <c r="AF28" s="5"/>
      <c r="AG28" s="5"/>
      <c r="AH28" s="5"/>
      <c r="AI28" s="5"/>
      <c r="AJ28" s="5"/>
      <c r="AK28" s="5"/>
      <c r="AL28" s="6">
        <v>6</v>
      </c>
    </row>
    <row r="29" spans="1:38" ht="11.1" customHeight="1" x14ac:dyDescent="0.2">
      <c r="A29" s="4" t="s">
        <v>89</v>
      </c>
      <c r="B29" s="4" t="s">
        <v>90</v>
      </c>
      <c r="C29" s="4" t="s">
        <v>90</v>
      </c>
      <c r="D29" s="4">
        <v>12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6">
        <v>1</v>
      </c>
      <c r="AG29" s="6">
        <v>4</v>
      </c>
      <c r="AH29" s="5"/>
      <c r="AI29" s="5"/>
      <c r="AJ29" s="5"/>
      <c r="AK29" s="5"/>
      <c r="AL29" s="6">
        <v>5</v>
      </c>
    </row>
    <row r="30" spans="1:38" ht="23.1" customHeight="1" x14ac:dyDescent="0.2">
      <c r="A30" s="4" t="s">
        <v>91</v>
      </c>
      <c r="B30" s="4" t="s">
        <v>92</v>
      </c>
      <c r="C30" s="4" t="s">
        <v>92</v>
      </c>
      <c r="D30" s="4">
        <v>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6">
        <v>9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6">
        <v>9</v>
      </c>
    </row>
    <row r="31" spans="1:38" ht="23.1" customHeight="1" x14ac:dyDescent="0.2">
      <c r="A31" s="4" t="s">
        <v>93</v>
      </c>
      <c r="B31" s="4" t="s">
        <v>94</v>
      </c>
      <c r="C31" s="4" t="s">
        <v>94</v>
      </c>
      <c r="D31" s="4">
        <v>1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6">
        <v>2</v>
      </c>
      <c r="AH31" s="6">
        <v>1</v>
      </c>
      <c r="AI31" s="5"/>
      <c r="AJ31" s="5"/>
      <c r="AK31" s="6">
        <v>1</v>
      </c>
      <c r="AL31" s="6">
        <v>4</v>
      </c>
    </row>
    <row r="32" spans="1:38" ht="11.1" customHeight="1" x14ac:dyDescent="0.2">
      <c r="A32" s="4" t="s">
        <v>95</v>
      </c>
      <c r="B32" s="4" t="s">
        <v>96</v>
      </c>
      <c r="C32" s="4" t="s">
        <v>1210</v>
      </c>
      <c r="D32" s="4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>
        <v>24</v>
      </c>
      <c r="V32" s="6">
        <v>83</v>
      </c>
      <c r="W32" s="6">
        <v>38</v>
      </c>
      <c r="X32" s="6">
        <v>22</v>
      </c>
      <c r="Y32" s="6">
        <v>52</v>
      </c>
      <c r="Z32" s="6">
        <v>101</v>
      </c>
      <c r="AA32" s="6">
        <v>84</v>
      </c>
      <c r="AB32" s="6">
        <v>67</v>
      </c>
      <c r="AC32" s="6">
        <v>38</v>
      </c>
      <c r="AD32" s="6">
        <v>34</v>
      </c>
      <c r="AE32" s="6">
        <v>43</v>
      </c>
      <c r="AF32" s="6">
        <v>60</v>
      </c>
      <c r="AG32" s="6">
        <v>40</v>
      </c>
      <c r="AH32" s="6">
        <v>40</v>
      </c>
      <c r="AI32" s="6">
        <v>38</v>
      </c>
      <c r="AJ32" s="6">
        <v>72</v>
      </c>
      <c r="AK32" s="6">
        <v>52</v>
      </c>
      <c r="AL32" s="6">
        <v>888</v>
      </c>
    </row>
    <row r="33" spans="1:38" ht="11.1" customHeight="1" x14ac:dyDescent="0.2">
      <c r="A33" s="4" t="s">
        <v>97</v>
      </c>
      <c r="B33" s="4" t="s">
        <v>98</v>
      </c>
      <c r="C33" s="4" t="s">
        <v>1211</v>
      </c>
      <c r="D33" s="4">
        <v>15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>
        <v>9</v>
      </c>
      <c r="V33" s="6">
        <v>79</v>
      </c>
      <c r="W33" s="6">
        <v>28</v>
      </c>
      <c r="X33" s="6">
        <v>16</v>
      </c>
      <c r="Y33" s="6">
        <v>37</v>
      </c>
      <c r="Z33" s="6">
        <v>47</v>
      </c>
      <c r="AA33" s="6">
        <v>23</v>
      </c>
      <c r="AB33" s="6">
        <v>30</v>
      </c>
      <c r="AC33" s="6">
        <v>8</v>
      </c>
      <c r="AD33" s="6">
        <v>9</v>
      </c>
      <c r="AE33" s="6">
        <v>12</v>
      </c>
      <c r="AF33" s="6">
        <v>17</v>
      </c>
      <c r="AG33" s="6">
        <v>7</v>
      </c>
      <c r="AH33" s="6">
        <v>48</v>
      </c>
      <c r="AI33" s="6">
        <v>9</v>
      </c>
      <c r="AJ33" s="6">
        <v>28</v>
      </c>
      <c r="AK33" s="6">
        <v>27</v>
      </c>
      <c r="AL33" s="6">
        <v>434</v>
      </c>
    </row>
    <row r="34" spans="1:38" ht="11.1" customHeight="1" x14ac:dyDescent="0.2">
      <c r="A34" s="4" t="s">
        <v>99</v>
      </c>
      <c r="B34" s="4" t="s">
        <v>100</v>
      </c>
      <c r="C34" s="4" t="s">
        <v>1212</v>
      </c>
      <c r="D34" s="4">
        <v>18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6">
        <v>2</v>
      </c>
      <c r="V34" s="6">
        <v>59</v>
      </c>
      <c r="W34" s="6">
        <v>2</v>
      </c>
      <c r="X34" s="6">
        <v>4</v>
      </c>
      <c r="Y34" s="6">
        <v>9</v>
      </c>
      <c r="Z34" s="6">
        <v>19</v>
      </c>
      <c r="AA34" s="6">
        <v>16</v>
      </c>
      <c r="AB34" s="6">
        <v>3</v>
      </c>
      <c r="AC34" s="6">
        <v>5</v>
      </c>
      <c r="AD34" s="6">
        <v>2</v>
      </c>
      <c r="AE34" s="6">
        <v>1</v>
      </c>
      <c r="AF34" s="6">
        <v>6</v>
      </c>
      <c r="AG34" s="6">
        <v>13</v>
      </c>
      <c r="AH34" s="6">
        <v>4</v>
      </c>
      <c r="AI34" s="6">
        <v>1</v>
      </c>
      <c r="AJ34" s="6">
        <v>19</v>
      </c>
      <c r="AK34" s="5"/>
      <c r="AL34" s="6">
        <v>165</v>
      </c>
    </row>
    <row r="35" spans="1:38" ht="11.1" customHeight="1" x14ac:dyDescent="0.2">
      <c r="A35" s="4" t="s">
        <v>101</v>
      </c>
      <c r="B35" s="4" t="s">
        <v>102</v>
      </c>
      <c r="C35" s="4" t="s">
        <v>1213</v>
      </c>
      <c r="D35" s="4">
        <v>10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6">
        <v>2</v>
      </c>
      <c r="U35" s="6">
        <v>17</v>
      </c>
      <c r="V35" s="6">
        <v>66</v>
      </c>
      <c r="W35" s="6">
        <v>12</v>
      </c>
      <c r="X35" s="6">
        <v>15</v>
      </c>
      <c r="Y35" s="6">
        <v>222</v>
      </c>
      <c r="Z35" s="6">
        <v>43</v>
      </c>
      <c r="AA35" s="6">
        <v>27</v>
      </c>
      <c r="AB35" s="6">
        <v>58</v>
      </c>
      <c r="AC35" s="6">
        <v>10</v>
      </c>
      <c r="AD35" s="6">
        <v>14</v>
      </c>
      <c r="AE35" s="6">
        <v>13</v>
      </c>
      <c r="AF35" s="6">
        <v>23</v>
      </c>
      <c r="AG35" s="6">
        <v>23</v>
      </c>
      <c r="AH35" s="6">
        <v>8</v>
      </c>
      <c r="AI35" s="6">
        <v>17</v>
      </c>
      <c r="AJ35" s="6">
        <v>23</v>
      </c>
      <c r="AK35" s="6">
        <v>36</v>
      </c>
      <c r="AL35" s="6">
        <v>629</v>
      </c>
    </row>
    <row r="36" spans="1:38" ht="11.1" customHeight="1" x14ac:dyDescent="0.2">
      <c r="A36" s="4" t="s">
        <v>103</v>
      </c>
      <c r="B36" s="4" t="s">
        <v>104</v>
      </c>
      <c r="C36" s="4" t="s">
        <v>1214</v>
      </c>
      <c r="D36" s="4">
        <v>6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6">
        <v>2</v>
      </c>
      <c r="V36" s="6">
        <v>33</v>
      </c>
      <c r="W36" s="6">
        <v>67</v>
      </c>
      <c r="X36" s="6">
        <v>9</v>
      </c>
      <c r="Y36" s="5"/>
      <c r="Z36" s="6">
        <v>24</v>
      </c>
      <c r="AA36" s="6">
        <v>7</v>
      </c>
      <c r="AB36" s="6">
        <v>40</v>
      </c>
      <c r="AC36" s="6">
        <v>11</v>
      </c>
      <c r="AD36" s="6">
        <v>7</v>
      </c>
      <c r="AE36" s="6">
        <v>1</v>
      </c>
      <c r="AF36" s="6">
        <v>1</v>
      </c>
      <c r="AG36" s="5"/>
      <c r="AH36" s="6">
        <v>24</v>
      </c>
      <c r="AI36" s="6">
        <v>16</v>
      </c>
      <c r="AJ36" s="6">
        <v>1</v>
      </c>
      <c r="AK36" s="6">
        <v>1</v>
      </c>
      <c r="AL36" s="6">
        <v>244</v>
      </c>
    </row>
    <row r="37" spans="1:38" ht="11.1" customHeight="1" x14ac:dyDescent="0.2">
      <c r="A37" s="4" t="s">
        <v>105</v>
      </c>
      <c r="B37" s="4" t="s">
        <v>106</v>
      </c>
      <c r="C37" s="4" t="s">
        <v>1215</v>
      </c>
      <c r="D37" s="4">
        <v>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6">
        <v>24</v>
      </c>
      <c r="U37" s="6">
        <v>17</v>
      </c>
      <c r="V37" s="6">
        <v>54</v>
      </c>
      <c r="W37" s="6">
        <v>38</v>
      </c>
      <c r="X37" s="6">
        <v>31</v>
      </c>
      <c r="Y37" s="6">
        <v>121</v>
      </c>
      <c r="Z37" s="6">
        <v>47</v>
      </c>
      <c r="AA37" s="6">
        <v>51</v>
      </c>
      <c r="AB37" s="6">
        <v>130</v>
      </c>
      <c r="AC37" s="6">
        <v>29</v>
      </c>
      <c r="AD37" s="6">
        <v>103</v>
      </c>
      <c r="AE37" s="6">
        <v>32</v>
      </c>
      <c r="AF37" s="6">
        <v>50</v>
      </c>
      <c r="AG37" s="6">
        <v>29</v>
      </c>
      <c r="AH37" s="6">
        <v>33</v>
      </c>
      <c r="AI37" s="6">
        <v>39</v>
      </c>
      <c r="AJ37" s="6">
        <v>58</v>
      </c>
      <c r="AK37" s="6">
        <v>33</v>
      </c>
      <c r="AL37" s="6">
        <v>919</v>
      </c>
    </row>
    <row r="38" spans="1:38" ht="11.1" customHeight="1" x14ac:dyDescent="0.2">
      <c r="A38" s="4" t="s">
        <v>107</v>
      </c>
      <c r="B38" s="4" t="s">
        <v>108</v>
      </c>
      <c r="C38" s="4" t="s">
        <v>1216</v>
      </c>
      <c r="D38" s="4">
        <v>5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6">
        <v>6</v>
      </c>
      <c r="V38" s="6">
        <v>18</v>
      </c>
      <c r="W38" s="6">
        <v>6</v>
      </c>
      <c r="X38" s="6">
        <v>9</v>
      </c>
      <c r="Y38" s="6">
        <v>1</v>
      </c>
      <c r="Z38" s="6">
        <v>23</v>
      </c>
      <c r="AA38" s="6">
        <v>35</v>
      </c>
      <c r="AB38" s="6">
        <v>8</v>
      </c>
      <c r="AC38" s="6">
        <v>2</v>
      </c>
      <c r="AD38" s="6">
        <v>5</v>
      </c>
      <c r="AE38" s="6">
        <v>1</v>
      </c>
      <c r="AF38" s="6">
        <v>2</v>
      </c>
      <c r="AG38" s="6">
        <v>1</v>
      </c>
      <c r="AH38" s="6">
        <v>10</v>
      </c>
      <c r="AI38" s="6">
        <v>6</v>
      </c>
      <c r="AJ38" s="6">
        <v>14</v>
      </c>
      <c r="AK38" s="5"/>
      <c r="AL38" s="6">
        <v>147</v>
      </c>
    </row>
    <row r="39" spans="1:38" ht="11.1" customHeight="1" x14ac:dyDescent="0.2">
      <c r="A39" s="4" t="s">
        <v>109</v>
      </c>
      <c r="B39" s="4" t="s">
        <v>110</v>
      </c>
      <c r="C39" s="4" t="s">
        <v>1217</v>
      </c>
      <c r="D39" s="4">
        <v>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6">
        <v>3</v>
      </c>
      <c r="V39" s="6">
        <v>31</v>
      </c>
      <c r="W39" s="6">
        <v>31</v>
      </c>
      <c r="X39" s="6">
        <v>22</v>
      </c>
      <c r="Y39" s="6">
        <v>22</v>
      </c>
      <c r="Z39" s="6">
        <v>15</v>
      </c>
      <c r="AA39" s="6">
        <v>23</v>
      </c>
      <c r="AB39" s="6">
        <v>86</v>
      </c>
      <c r="AC39" s="6">
        <v>45</v>
      </c>
      <c r="AD39" s="6">
        <v>21</v>
      </c>
      <c r="AE39" s="6">
        <v>158</v>
      </c>
      <c r="AF39" s="6">
        <v>42</v>
      </c>
      <c r="AG39" s="6">
        <v>15</v>
      </c>
      <c r="AH39" s="6">
        <v>22</v>
      </c>
      <c r="AI39" s="6">
        <v>17</v>
      </c>
      <c r="AJ39" s="6">
        <v>43</v>
      </c>
      <c r="AK39" s="6">
        <v>20</v>
      </c>
      <c r="AL39" s="6">
        <v>616</v>
      </c>
    </row>
    <row r="40" spans="1:38" ht="11.1" customHeight="1" x14ac:dyDescent="0.2">
      <c r="A40" s="4" t="s">
        <v>111</v>
      </c>
      <c r="B40" s="4" t="s">
        <v>112</v>
      </c>
      <c r="C40" s="4" t="s">
        <v>1218</v>
      </c>
      <c r="D40" s="4">
        <v>12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">
        <v>4</v>
      </c>
      <c r="U40" s="6">
        <v>78</v>
      </c>
      <c r="V40" s="6">
        <v>62</v>
      </c>
      <c r="W40" s="6">
        <v>100</v>
      </c>
      <c r="X40" s="6">
        <v>34</v>
      </c>
      <c r="Y40" s="6">
        <v>85</v>
      </c>
      <c r="Z40" s="6">
        <v>138</v>
      </c>
      <c r="AA40" s="6">
        <v>46</v>
      </c>
      <c r="AB40" s="6">
        <v>69</v>
      </c>
      <c r="AC40" s="6">
        <v>45</v>
      </c>
      <c r="AD40" s="6">
        <v>34</v>
      </c>
      <c r="AE40" s="6">
        <v>36</v>
      </c>
      <c r="AF40" s="6">
        <v>123</v>
      </c>
      <c r="AG40" s="6">
        <v>24</v>
      </c>
      <c r="AH40" s="6">
        <v>60</v>
      </c>
      <c r="AI40" s="6">
        <v>36</v>
      </c>
      <c r="AJ40" s="6">
        <v>78</v>
      </c>
      <c r="AK40" s="6">
        <v>33</v>
      </c>
      <c r="AL40" s="7">
        <v>1085</v>
      </c>
    </row>
    <row r="41" spans="1:38" ht="11.1" customHeight="1" x14ac:dyDescent="0.2">
      <c r="A41" s="4" t="s">
        <v>113</v>
      </c>
      <c r="B41" s="4" t="s">
        <v>114</v>
      </c>
      <c r="C41" s="4" t="s">
        <v>1219</v>
      </c>
      <c r="D41" s="4">
        <v>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>
        <v>59</v>
      </c>
      <c r="V41" s="6">
        <v>75</v>
      </c>
      <c r="W41" s="6">
        <v>71</v>
      </c>
      <c r="X41" s="6">
        <v>112</v>
      </c>
      <c r="Y41" s="6">
        <v>66</v>
      </c>
      <c r="Z41" s="6">
        <v>301</v>
      </c>
      <c r="AA41" s="6">
        <v>112</v>
      </c>
      <c r="AB41" s="6">
        <v>178</v>
      </c>
      <c r="AC41" s="6">
        <v>106</v>
      </c>
      <c r="AD41" s="6">
        <v>249</v>
      </c>
      <c r="AE41" s="6">
        <v>239</v>
      </c>
      <c r="AF41" s="6">
        <v>212</v>
      </c>
      <c r="AG41" s="6">
        <v>65</v>
      </c>
      <c r="AH41" s="6">
        <v>153</v>
      </c>
      <c r="AI41" s="6">
        <v>122</v>
      </c>
      <c r="AJ41" s="6">
        <v>251</v>
      </c>
      <c r="AK41" s="6">
        <v>211</v>
      </c>
      <c r="AL41" s="7">
        <v>2582</v>
      </c>
    </row>
    <row r="42" spans="1:38" ht="11.1" customHeight="1" x14ac:dyDescent="0.2">
      <c r="A42" s="4" t="s">
        <v>115</v>
      </c>
      <c r="B42" s="4" t="s">
        <v>116</v>
      </c>
      <c r="C42" s="4" t="s">
        <v>1220</v>
      </c>
      <c r="D42" s="4">
        <v>6</v>
      </c>
      <c r="E42" s="6">
        <v>1</v>
      </c>
      <c r="F42" s="5"/>
      <c r="G42" s="6">
        <v>2</v>
      </c>
      <c r="H42" s="6">
        <v>12</v>
      </c>
      <c r="I42" s="6">
        <v>16</v>
      </c>
      <c r="J42" s="6">
        <v>10</v>
      </c>
      <c r="K42" s="6">
        <v>12</v>
      </c>
      <c r="L42" s="6">
        <v>28</v>
      </c>
      <c r="M42" s="6">
        <v>46</v>
      </c>
      <c r="N42" s="6">
        <v>7</v>
      </c>
      <c r="O42" s="6">
        <v>5</v>
      </c>
      <c r="P42" s="6">
        <v>33</v>
      </c>
      <c r="Q42" s="6">
        <v>10</v>
      </c>
      <c r="R42" s="6">
        <v>7</v>
      </c>
      <c r="S42" s="6">
        <v>12</v>
      </c>
      <c r="T42" s="6">
        <v>31</v>
      </c>
      <c r="U42" s="6">
        <v>11</v>
      </c>
      <c r="V42" s="6">
        <v>12</v>
      </c>
      <c r="W42" s="6">
        <v>1</v>
      </c>
      <c r="X42" s="6">
        <v>17</v>
      </c>
      <c r="Y42" s="6">
        <v>6</v>
      </c>
      <c r="Z42" s="6">
        <v>20</v>
      </c>
      <c r="AA42" s="6">
        <v>10</v>
      </c>
      <c r="AB42" s="6">
        <v>15</v>
      </c>
      <c r="AC42" s="6">
        <v>9</v>
      </c>
      <c r="AD42" s="6">
        <v>13</v>
      </c>
      <c r="AE42" s="6">
        <v>15</v>
      </c>
      <c r="AF42" s="6">
        <v>11</v>
      </c>
      <c r="AG42" s="6">
        <v>13</v>
      </c>
      <c r="AH42" s="6">
        <v>9</v>
      </c>
      <c r="AI42" s="6">
        <v>8</v>
      </c>
      <c r="AJ42" s="6">
        <v>29</v>
      </c>
      <c r="AK42" s="6">
        <v>7</v>
      </c>
      <c r="AL42" s="6">
        <v>438</v>
      </c>
    </row>
    <row r="43" spans="1:38" ht="11.1" customHeight="1" x14ac:dyDescent="0.2">
      <c r="A43" s="4" t="s">
        <v>117</v>
      </c>
      <c r="B43" s="4" t="s">
        <v>118</v>
      </c>
      <c r="C43" s="4" t="s">
        <v>1221</v>
      </c>
      <c r="D43" s="4">
        <v>1</v>
      </c>
      <c r="E43" s="6">
        <v>20</v>
      </c>
      <c r="F43" s="6">
        <v>3</v>
      </c>
      <c r="G43" s="6">
        <v>21</v>
      </c>
      <c r="H43" s="6">
        <v>79</v>
      </c>
      <c r="I43" s="6">
        <v>58</v>
      </c>
      <c r="J43" s="6">
        <v>81</v>
      </c>
      <c r="K43" s="6">
        <v>100</v>
      </c>
      <c r="L43" s="6">
        <v>100</v>
      </c>
      <c r="M43" s="6">
        <v>69</v>
      </c>
      <c r="N43" s="6">
        <v>105</v>
      </c>
      <c r="O43" s="6">
        <v>114</v>
      </c>
      <c r="P43" s="6">
        <v>42</v>
      </c>
      <c r="Q43" s="6">
        <v>69</v>
      </c>
      <c r="R43" s="6">
        <v>40</v>
      </c>
      <c r="S43" s="6">
        <v>25</v>
      </c>
      <c r="T43" s="6">
        <v>47</v>
      </c>
      <c r="U43" s="6">
        <v>27</v>
      </c>
      <c r="V43" s="6">
        <v>77</v>
      </c>
      <c r="W43" s="6">
        <v>84</v>
      </c>
      <c r="X43" s="6">
        <v>33</v>
      </c>
      <c r="Y43" s="6">
        <v>49</v>
      </c>
      <c r="Z43" s="6">
        <v>61</v>
      </c>
      <c r="AA43" s="6">
        <v>25</v>
      </c>
      <c r="AB43" s="6">
        <v>13</v>
      </c>
      <c r="AC43" s="6">
        <v>11</v>
      </c>
      <c r="AD43" s="6">
        <v>6</v>
      </c>
      <c r="AE43" s="6">
        <v>9</v>
      </c>
      <c r="AF43" s="6">
        <v>30</v>
      </c>
      <c r="AG43" s="6">
        <v>22</v>
      </c>
      <c r="AH43" s="6">
        <v>20</v>
      </c>
      <c r="AI43" s="6">
        <v>25</v>
      </c>
      <c r="AJ43" s="6">
        <v>17</v>
      </c>
      <c r="AK43" s="6">
        <v>12</v>
      </c>
      <c r="AL43" s="7">
        <v>1494</v>
      </c>
    </row>
    <row r="44" spans="1:38" ht="11.1" customHeight="1" x14ac:dyDescent="0.2">
      <c r="A44" s="4" t="s">
        <v>119</v>
      </c>
      <c r="B44" s="4" t="s">
        <v>120</v>
      </c>
      <c r="C44" s="4" t="s">
        <v>1222</v>
      </c>
      <c r="D44" s="4">
        <v>1</v>
      </c>
      <c r="E44" s="6">
        <v>11</v>
      </c>
      <c r="F44" s="6">
        <v>7</v>
      </c>
      <c r="G44" s="6">
        <v>2</v>
      </c>
      <c r="H44" s="6">
        <v>17</v>
      </c>
      <c r="I44" s="6">
        <v>4</v>
      </c>
      <c r="J44" s="6">
        <v>28</v>
      </c>
      <c r="K44" s="6">
        <v>43</v>
      </c>
      <c r="L44" s="6">
        <v>95</v>
      </c>
      <c r="M44" s="6">
        <v>21</v>
      </c>
      <c r="N44" s="6">
        <v>32</v>
      </c>
      <c r="O44" s="6">
        <v>15</v>
      </c>
      <c r="P44" s="6">
        <v>12</v>
      </c>
      <c r="Q44" s="6">
        <v>15</v>
      </c>
      <c r="R44" s="6">
        <v>3</v>
      </c>
      <c r="S44" s="6">
        <v>10</v>
      </c>
      <c r="T44" s="6">
        <v>13</v>
      </c>
      <c r="U44" s="6">
        <v>8</v>
      </c>
      <c r="V44" s="6">
        <v>7</v>
      </c>
      <c r="W44" s="6">
        <v>5</v>
      </c>
      <c r="X44" s="6">
        <v>18</v>
      </c>
      <c r="Y44" s="6">
        <v>1</v>
      </c>
      <c r="Z44" s="6">
        <v>12</v>
      </c>
      <c r="AA44" s="6">
        <v>5</v>
      </c>
      <c r="AB44" s="6">
        <v>2</v>
      </c>
      <c r="AC44" s="6">
        <v>5</v>
      </c>
      <c r="AD44" s="6">
        <v>1</v>
      </c>
      <c r="AE44" s="6">
        <v>6</v>
      </c>
      <c r="AF44" s="6">
        <v>8</v>
      </c>
      <c r="AG44" s="6">
        <v>2</v>
      </c>
      <c r="AH44" s="6">
        <v>9</v>
      </c>
      <c r="AI44" s="6">
        <v>6</v>
      </c>
      <c r="AJ44" s="6">
        <v>3</v>
      </c>
      <c r="AK44" s="5"/>
      <c r="AL44" s="6">
        <v>426</v>
      </c>
    </row>
    <row r="45" spans="1:38" ht="11.1" customHeight="1" x14ac:dyDescent="0.2">
      <c r="A45" s="4" t="s">
        <v>121</v>
      </c>
      <c r="B45" s="4" t="s">
        <v>122</v>
      </c>
      <c r="C45" s="4" t="s">
        <v>1223</v>
      </c>
      <c r="D45" s="4">
        <v>1</v>
      </c>
      <c r="E45" s="6">
        <v>8</v>
      </c>
      <c r="F45" s="6">
        <v>3</v>
      </c>
      <c r="G45" s="6">
        <v>5</v>
      </c>
      <c r="H45" s="6">
        <v>59</v>
      </c>
      <c r="I45" s="6">
        <v>62</v>
      </c>
      <c r="J45" s="6">
        <v>30</v>
      </c>
      <c r="K45" s="6">
        <v>39</v>
      </c>
      <c r="L45" s="6">
        <v>73</v>
      </c>
      <c r="M45" s="6">
        <v>30</v>
      </c>
      <c r="N45" s="6">
        <v>58</v>
      </c>
      <c r="O45" s="6">
        <v>44</v>
      </c>
      <c r="P45" s="6">
        <v>19</v>
      </c>
      <c r="Q45" s="6">
        <v>28</v>
      </c>
      <c r="R45" s="6">
        <v>32</v>
      </c>
      <c r="S45" s="6">
        <v>40</v>
      </c>
      <c r="T45" s="6">
        <v>43</v>
      </c>
      <c r="U45" s="6">
        <v>41</v>
      </c>
      <c r="V45" s="6">
        <v>40</v>
      </c>
      <c r="W45" s="6">
        <v>42</v>
      </c>
      <c r="X45" s="6">
        <v>38</v>
      </c>
      <c r="Y45" s="6">
        <v>28</v>
      </c>
      <c r="Z45" s="6">
        <v>27</v>
      </c>
      <c r="AA45" s="6">
        <v>17</v>
      </c>
      <c r="AB45" s="6">
        <v>22</v>
      </c>
      <c r="AC45" s="6">
        <v>19</v>
      </c>
      <c r="AD45" s="6">
        <v>18</v>
      </c>
      <c r="AE45" s="6">
        <v>6</v>
      </c>
      <c r="AF45" s="6">
        <v>19</v>
      </c>
      <c r="AG45" s="6">
        <v>17</v>
      </c>
      <c r="AH45" s="6">
        <v>22</v>
      </c>
      <c r="AI45" s="6">
        <v>17</v>
      </c>
      <c r="AJ45" s="6">
        <v>9</v>
      </c>
      <c r="AK45" s="6">
        <v>8</v>
      </c>
      <c r="AL45" s="6">
        <v>963</v>
      </c>
    </row>
    <row r="46" spans="1:38" ht="11.1" customHeight="1" x14ac:dyDescent="0.2">
      <c r="A46" s="4" t="s">
        <v>123</v>
      </c>
      <c r="B46" s="4" t="s">
        <v>124</v>
      </c>
      <c r="C46" s="4" t="s">
        <v>1224</v>
      </c>
      <c r="D46" s="4">
        <v>1</v>
      </c>
      <c r="E46" s="6">
        <v>61</v>
      </c>
      <c r="F46" s="6">
        <v>2</v>
      </c>
      <c r="G46" s="6">
        <v>19</v>
      </c>
      <c r="H46" s="6">
        <v>149</v>
      </c>
      <c r="I46" s="6">
        <v>115</v>
      </c>
      <c r="J46" s="6">
        <v>133</v>
      </c>
      <c r="K46" s="6">
        <v>128</v>
      </c>
      <c r="L46" s="6">
        <v>152</v>
      </c>
      <c r="M46" s="6">
        <v>124</v>
      </c>
      <c r="N46" s="6">
        <v>140</v>
      </c>
      <c r="O46" s="6">
        <v>128</v>
      </c>
      <c r="P46" s="6">
        <v>96</v>
      </c>
      <c r="Q46" s="6">
        <v>105</v>
      </c>
      <c r="R46" s="6">
        <v>96</v>
      </c>
      <c r="S46" s="6">
        <v>99</v>
      </c>
      <c r="T46" s="6">
        <v>93</v>
      </c>
      <c r="U46" s="6">
        <v>102</v>
      </c>
      <c r="V46" s="6">
        <v>104</v>
      </c>
      <c r="W46" s="6">
        <v>114</v>
      </c>
      <c r="X46" s="6">
        <v>105</v>
      </c>
      <c r="Y46" s="6">
        <v>84</v>
      </c>
      <c r="Z46" s="6">
        <v>58</v>
      </c>
      <c r="AA46" s="6">
        <v>34</v>
      </c>
      <c r="AB46" s="6">
        <v>40</v>
      </c>
      <c r="AC46" s="6">
        <v>33</v>
      </c>
      <c r="AD46" s="6">
        <v>40</v>
      </c>
      <c r="AE46" s="6">
        <v>13</v>
      </c>
      <c r="AF46" s="6">
        <v>57</v>
      </c>
      <c r="AG46" s="6">
        <v>55</v>
      </c>
      <c r="AH46" s="6">
        <v>53</v>
      </c>
      <c r="AI46" s="6">
        <v>32</v>
      </c>
      <c r="AJ46" s="6">
        <v>42</v>
      </c>
      <c r="AK46" s="6">
        <v>20</v>
      </c>
      <c r="AL46" s="7">
        <v>2626</v>
      </c>
    </row>
    <row r="47" spans="1:38" ht="11.1" customHeight="1" x14ac:dyDescent="0.2">
      <c r="A47" s="4" t="s">
        <v>125</v>
      </c>
      <c r="B47" s="4" t="s">
        <v>126</v>
      </c>
      <c r="C47" s="4" t="s">
        <v>1225</v>
      </c>
      <c r="D47" s="4">
        <v>1</v>
      </c>
      <c r="E47" s="6">
        <v>41</v>
      </c>
      <c r="F47" s="6">
        <v>21</v>
      </c>
      <c r="G47" s="6">
        <v>62</v>
      </c>
      <c r="H47" s="6">
        <v>105</v>
      </c>
      <c r="I47" s="6">
        <v>74</v>
      </c>
      <c r="J47" s="6">
        <v>103</v>
      </c>
      <c r="K47" s="6">
        <v>122</v>
      </c>
      <c r="L47" s="6">
        <v>143</v>
      </c>
      <c r="M47" s="6">
        <v>98</v>
      </c>
      <c r="N47" s="6">
        <v>129</v>
      </c>
      <c r="O47" s="6">
        <v>89</v>
      </c>
      <c r="P47" s="6">
        <v>74</v>
      </c>
      <c r="Q47" s="6">
        <v>48</v>
      </c>
      <c r="R47" s="6">
        <v>85</v>
      </c>
      <c r="S47" s="6">
        <v>73</v>
      </c>
      <c r="T47" s="6">
        <v>96</v>
      </c>
      <c r="U47" s="6">
        <v>73</v>
      </c>
      <c r="V47" s="6">
        <v>47</v>
      </c>
      <c r="W47" s="6">
        <v>90</v>
      </c>
      <c r="X47" s="6">
        <v>81</v>
      </c>
      <c r="Y47" s="6">
        <v>45</v>
      </c>
      <c r="Z47" s="6">
        <v>50</v>
      </c>
      <c r="AA47" s="6">
        <v>34</v>
      </c>
      <c r="AB47" s="6">
        <v>34</v>
      </c>
      <c r="AC47" s="6">
        <v>27</v>
      </c>
      <c r="AD47" s="6">
        <v>37</v>
      </c>
      <c r="AE47" s="6">
        <v>36</v>
      </c>
      <c r="AF47" s="6">
        <v>46</v>
      </c>
      <c r="AG47" s="6">
        <v>48</v>
      </c>
      <c r="AH47" s="6">
        <v>40</v>
      </c>
      <c r="AI47" s="6">
        <v>29</v>
      </c>
      <c r="AJ47" s="6">
        <v>33</v>
      </c>
      <c r="AK47" s="6">
        <v>24</v>
      </c>
      <c r="AL47" s="7">
        <v>2137</v>
      </c>
    </row>
    <row r="48" spans="1:38" ht="11.1" customHeight="1" x14ac:dyDescent="0.2">
      <c r="A48" s="4" t="s">
        <v>127</v>
      </c>
      <c r="B48" s="4" t="s">
        <v>128</v>
      </c>
      <c r="C48" s="4" t="s">
        <v>1226</v>
      </c>
      <c r="D48" s="4">
        <v>1</v>
      </c>
      <c r="E48" s="6">
        <v>3</v>
      </c>
      <c r="F48" s="6">
        <v>2</v>
      </c>
      <c r="G48" s="6">
        <v>3</v>
      </c>
      <c r="H48" s="6">
        <v>30</v>
      </c>
      <c r="I48" s="6">
        <v>42</v>
      </c>
      <c r="J48" s="6">
        <v>16</v>
      </c>
      <c r="K48" s="6">
        <v>41</v>
      </c>
      <c r="L48" s="6">
        <v>51</v>
      </c>
      <c r="M48" s="6">
        <v>66</v>
      </c>
      <c r="N48" s="6">
        <v>72</v>
      </c>
      <c r="O48" s="6">
        <v>34</v>
      </c>
      <c r="P48" s="6">
        <v>59</v>
      </c>
      <c r="Q48" s="6">
        <v>30</v>
      </c>
      <c r="R48" s="6">
        <v>26</v>
      </c>
      <c r="S48" s="6">
        <v>2</v>
      </c>
      <c r="T48" s="6">
        <v>12</v>
      </c>
      <c r="U48" s="6">
        <v>5</v>
      </c>
      <c r="V48" s="6">
        <v>11</v>
      </c>
      <c r="W48" s="6">
        <v>18</v>
      </c>
      <c r="X48" s="6">
        <v>68</v>
      </c>
      <c r="Y48" s="6">
        <v>-6</v>
      </c>
      <c r="Z48" s="6">
        <v>9</v>
      </c>
      <c r="AA48" s="6">
        <v>6</v>
      </c>
      <c r="AB48" s="6">
        <v>12</v>
      </c>
      <c r="AC48" s="6">
        <v>3</v>
      </c>
      <c r="AD48" s="6">
        <v>2</v>
      </c>
      <c r="AE48" s="6">
        <v>4</v>
      </c>
      <c r="AF48" s="6">
        <v>13</v>
      </c>
      <c r="AG48" s="6">
        <v>7</v>
      </c>
      <c r="AH48" s="6">
        <v>8</v>
      </c>
      <c r="AI48" s="6">
        <v>15</v>
      </c>
      <c r="AJ48" s="6">
        <v>72</v>
      </c>
      <c r="AK48" s="6">
        <v>7</v>
      </c>
      <c r="AL48" s="6">
        <v>743</v>
      </c>
    </row>
    <row r="49" spans="1:38" ht="11.1" customHeight="1" x14ac:dyDescent="0.2">
      <c r="A49" s="4" t="s">
        <v>129</v>
      </c>
      <c r="B49" s="4" t="s">
        <v>130</v>
      </c>
      <c r="C49" s="4" t="s">
        <v>1227</v>
      </c>
      <c r="D49" s="4">
        <v>1</v>
      </c>
      <c r="E49" s="6">
        <v>2</v>
      </c>
      <c r="F49" s="5"/>
      <c r="G49" s="6">
        <v>9</v>
      </c>
      <c r="H49" s="6">
        <v>59</v>
      </c>
      <c r="I49" s="6">
        <v>56</v>
      </c>
      <c r="J49" s="6">
        <v>40</v>
      </c>
      <c r="K49" s="6">
        <v>46</v>
      </c>
      <c r="L49" s="6">
        <v>91</v>
      </c>
      <c r="M49" s="6">
        <v>81</v>
      </c>
      <c r="N49" s="6">
        <v>99</v>
      </c>
      <c r="O49" s="6">
        <v>79</v>
      </c>
      <c r="P49" s="6">
        <v>18</v>
      </c>
      <c r="Q49" s="6">
        <v>36</v>
      </c>
      <c r="R49" s="6">
        <v>32</v>
      </c>
      <c r="S49" s="6">
        <v>21</v>
      </c>
      <c r="T49" s="6">
        <v>21</v>
      </c>
      <c r="U49" s="6">
        <v>51</v>
      </c>
      <c r="V49" s="6">
        <v>35</v>
      </c>
      <c r="W49" s="6">
        <v>60</v>
      </c>
      <c r="X49" s="6">
        <v>48</v>
      </c>
      <c r="Y49" s="6">
        <v>73</v>
      </c>
      <c r="Z49" s="6">
        <v>44</v>
      </c>
      <c r="AA49" s="6">
        <v>38</v>
      </c>
      <c r="AB49" s="6">
        <v>27</v>
      </c>
      <c r="AC49" s="6">
        <v>24</v>
      </c>
      <c r="AD49" s="6">
        <v>13</v>
      </c>
      <c r="AE49" s="6">
        <v>10</v>
      </c>
      <c r="AF49" s="6">
        <v>11</v>
      </c>
      <c r="AG49" s="6">
        <v>13</v>
      </c>
      <c r="AH49" s="6">
        <v>34</v>
      </c>
      <c r="AI49" s="6">
        <v>48</v>
      </c>
      <c r="AJ49" s="6">
        <v>18</v>
      </c>
      <c r="AK49" s="6">
        <v>19</v>
      </c>
      <c r="AL49" s="7">
        <v>1256</v>
      </c>
    </row>
    <row r="50" spans="1:38" ht="11.1" customHeight="1" x14ac:dyDescent="0.2">
      <c r="A50" s="4" t="s">
        <v>131</v>
      </c>
      <c r="B50" s="4" t="s">
        <v>132</v>
      </c>
      <c r="C50" s="4" t="s">
        <v>1228</v>
      </c>
      <c r="D50" s="4">
        <v>1</v>
      </c>
      <c r="E50" s="5"/>
      <c r="F50" s="5"/>
      <c r="G50" s="6">
        <v>2</v>
      </c>
      <c r="H50" s="6">
        <v>30</v>
      </c>
      <c r="I50" s="6">
        <v>32</v>
      </c>
      <c r="J50" s="6">
        <v>23</v>
      </c>
      <c r="K50" s="6">
        <v>40</v>
      </c>
      <c r="L50" s="6">
        <v>41</v>
      </c>
      <c r="M50" s="6">
        <v>19</v>
      </c>
      <c r="N50" s="6">
        <v>120</v>
      </c>
      <c r="O50" s="6">
        <v>10</v>
      </c>
      <c r="P50" s="6">
        <v>59</v>
      </c>
      <c r="Q50" s="6">
        <v>52</v>
      </c>
      <c r="R50" s="6">
        <v>19</v>
      </c>
      <c r="S50" s="6">
        <v>16</v>
      </c>
      <c r="T50" s="6">
        <v>22</v>
      </c>
      <c r="U50" s="6">
        <v>13</v>
      </c>
      <c r="V50" s="6">
        <v>18</v>
      </c>
      <c r="W50" s="6">
        <v>17</v>
      </c>
      <c r="X50" s="6">
        <v>34</v>
      </c>
      <c r="Y50" s="6">
        <v>16</v>
      </c>
      <c r="Z50" s="6">
        <v>13</v>
      </c>
      <c r="AA50" s="6">
        <v>29</v>
      </c>
      <c r="AB50" s="6">
        <v>22</v>
      </c>
      <c r="AC50" s="6">
        <v>6</v>
      </c>
      <c r="AD50" s="6">
        <v>15</v>
      </c>
      <c r="AE50" s="6">
        <v>15</v>
      </c>
      <c r="AF50" s="6">
        <v>9</v>
      </c>
      <c r="AG50" s="6">
        <v>17</v>
      </c>
      <c r="AH50" s="6">
        <v>13</v>
      </c>
      <c r="AI50" s="6">
        <v>19</v>
      </c>
      <c r="AJ50" s="6">
        <v>14</v>
      </c>
      <c r="AK50" s="6">
        <v>11</v>
      </c>
      <c r="AL50" s="6">
        <v>766</v>
      </c>
    </row>
    <row r="51" spans="1:38" ht="11.1" customHeight="1" x14ac:dyDescent="0.2">
      <c r="A51" s="4" t="s">
        <v>133</v>
      </c>
      <c r="B51" s="4" t="s">
        <v>134</v>
      </c>
      <c r="C51" s="4" t="s">
        <v>1229</v>
      </c>
      <c r="D51" s="4">
        <v>1</v>
      </c>
      <c r="E51" s="6">
        <v>13</v>
      </c>
      <c r="F51" s="6">
        <v>2</v>
      </c>
      <c r="G51" s="6">
        <v>9</v>
      </c>
      <c r="H51" s="6">
        <v>33</v>
      </c>
      <c r="I51" s="6">
        <v>28</v>
      </c>
      <c r="J51" s="6">
        <v>23</v>
      </c>
      <c r="K51" s="6">
        <v>27</v>
      </c>
      <c r="L51" s="6">
        <v>77</v>
      </c>
      <c r="M51" s="6">
        <v>54</v>
      </c>
      <c r="N51" s="6">
        <v>67</v>
      </c>
      <c r="O51" s="6">
        <v>46</v>
      </c>
      <c r="P51" s="6">
        <v>33</v>
      </c>
      <c r="Q51" s="6">
        <v>27</v>
      </c>
      <c r="R51" s="6">
        <v>16</v>
      </c>
      <c r="S51" s="6">
        <v>23</v>
      </c>
      <c r="T51" s="6">
        <v>48</v>
      </c>
      <c r="U51" s="6">
        <v>28</v>
      </c>
      <c r="V51" s="6">
        <v>48</v>
      </c>
      <c r="W51" s="6">
        <v>49</v>
      </c>
      <c r="X51" s="6">
        <v>34</v>
      </c>
      <c r="Y51" s="6">
        <v>34</v>
      </c>
      <c r="Z51" s="6">
        <v>62</v>
      </c>
      <c r="AA51" s="6">
        <v>34</v>
      </c>
      <c r="AB51" s="6">
        <v>21</v>
      </c>
      <c r="AC51" s="6">
        <v>20</v>
      </c>
      <c r="AD51" s="6">
        <v>7</v>
      </c>
      <c r="AE51" s="6">
        <v>17</v>
      </c>
      <c r="AF51" s="6">
        <v>9</v>
      </c>
      <c r="AG51" s="6">
        <v>16</v>
      </c>
      <c r="AH51" s="6">
        <v>16</v>
      </c>
      <c r="AI51" s="6">
        <v>17</v>
      </c>
      <c r="AJ51" s="6">
        <v>23</v>
      </c>
      <c r="AK51" s="6">
        <v>19</v>
      </c>
      <c r="AL51" s="6">
        <v>980</v>
      </c>
    </row>
    <row r="52" spans="1:38" ht="11.1" customHeight="1" x14ac:dyDescent="0.2">
      <c r="A52" s="4" t="s">
        <v>135</v>
      </c>
      <c r="B52" s="4" t="s">
        <v>136</v>
      </c>
      <c r="C52" s="4" t="s">
        <v>1230</v>
      </c>
      <c r="D52" s="4">
        <v>1</v>
      </c>
      <c r="E52" s="6">
        <v>17</v>
      </c>
      <c r="F52" s="6">
        <v>2</v>
      </c>
      <c r="G52" s="6">
        <v>5</v>
      </c>
      <c r="H52" s="6">
        <v>24</v>
      </c>
      <c r="I52" s="6">
        <v>36</v>
      </c>
      <c r="J52" s="6">
        <v>26</v>
      </c>
      <c r="K52" s="6">
        <v>18</v>
      </c>
      <c r="L52" s="6">
        <v>54</v>
      </c>
      <c r="M52" s="6">
        <v>35</v>
      </c>
      <c r="N52" s="6">
        <v>26</v>
      </c>
      <c r="O52" s="6">
        <v>31</v>
      </c>
      <c r="P52" s="6">
        <v>49</v>
      </c>
      <c r="Q52" s="6">
        <v>15</v>
      </c>
      <c r="R52" s="6">
        <v>15</v>
      </c>
      <c r="S52" s="6">
        <v>18</v>
      </c>
      <c r="T52" s="6">
        <v>35</v>
      </c>
      <c r="U52" s="6">
        <v>21</v>
      </c>
      <c r="V52" s="6">
        <v>26</v>
      </c>
      <c r="W52" s="6">
        <v>40</v>
      </c>
      <c r="X52" s="6">
        <v>12</v>
      </c>
      <c r="Y52" s="6">
        <v>14</v>
      </c>
      <c r="Z52" s="6">
        <v>37</v>
      </c>
      <c r="AA52" s="6">
        <v>13</v>
      </c>
      <c r="AB52" s="6">
        <v>22</v>
      </c>
      <c r="AC52" s="6">
        <v>11</v>
      </c>
      <c r="AD52" s="6">
        <v>6</v>
      </c>
      <c r="AE52" s="6">
        <v>10</v>
      </c>
      <c r="AF52" s="6">
        <v>15</v>
      </c>
      <c r="AG52" s="6">
        <v>10</v>
      </c>
      <c r="AH52" s="6">
        <v>13</v>
      </c>
      <c r="AI52" s="6">
        <v>19</v>
      </c>
      <c r="AJ52" s="6">
        <v>20</v>
      </c>
      <c r="AK52" s="6">
        <v>13</v>
      </c>
      <c r="AL52" s="6">
        <v>708</v>
      </c>
    </row>
    <row r="53" spans="1:38" ht="11.1" customHeight="1" x14ac:dyDescent="0.2">
      <c r="A53" s="4" t="s">
        <v>137</v>
      </c>
      <c r="B53" s="4" t="s">
        <v>138</v>
      </c>
      <c r="C53" s="4" t="s">
        <v>1231</v>
      </c>
      <c r="D53" s="4">
        <v>10</v>
      </c>
      <c r="E53" s="5"/>
      <c r="F53" s="5"/>
      <c r="G53" s="5"/>
      <c r="H53" s="5"/>
      <c r="I53" s="5"/>
      <c r="J53" s="5"/>
      <c r="K53" s="5"/>
      <c r="L53" s="6">
        <v>24</v>
      </c>
      <c r="M53" s="6">
        <v>187</v>
      </c>
      <c r="N53" s="6">
        <v>77</v>
      </c>
      <c r="O53" s="6">
        <v>55</v>
      </c>
      <c r="P53" s="6">
        <v>213</v>
      </c>
      <c r="Q53" s="6">
        <v>4</v>
      </c>
      <c r="R53" s="6">
        <v>78</v>
      </c>
      <c r="S53" s="5"/>
      <c r="T53" s="6">
        <v>31</v>
      </c>
      <c r="U53" s="6">
        <v>53</v>
      </c>
      <c r="V53" s="6">
        <v>40</v>
      </c>
      <c r="W53" s="6">
        <v>69</v>
      </c>
      <c r="X53" s="6">
        <v>54</v>
      </c>
      <c r="Y53" s="6">
        <v>56</v>
      </c>
      <c r="Z53" s="6">
        <v>66</v>
      </c>
      <c r="AA53" s="6">
        <v>39</v>
      </c>
      <c r="AB53" s="5"/>
      <c r="AC53" s="5"/>
      <c r="AD53" s="6">
        <v>4</v>
      </c>
      <c r="AE53" s="6">
        <v>-10</v>
      </c>
      <c r="AF53" s="5"/>
      <c r="AG53" s="5"/>
      <c r="AH53" s="6">
        <v>1</v>
      </c>
      <c r="AI53" s="6">
        <v>106</v>
      </c>
      <c r="AJ53" s="6">
        <v>87</v>
      </c>
      <c r="AK53" s="6">
        <v>59</v>
      </c>
      <c r="AL53" s="7">
        <v>1293</v>
      </c>
    </row>
    <row r="54" spans="1:38" ht="11.1" customHeight="1" x14ac:dyDescent="0.2">
      <c r="A54" s="4" t="s">
        <v>139</v>
      </c>
      <c r="B54" s="4" t="s">
        <v>140</v>
      </c>
      <c r="C54" s="4" t="s">
        <v>1232</v>
      </c>
      <c r="D54" s="4">
        <v>10</v>
      </c>
      <c r="E54" s="5"/>
      <c r="F54" s="5"/>
      <c r="G54" s="5"/>
      <c r="H54" s="5"/>
      <c r="I54" s="5"/>
      <c r="J54" s="5"/>
      <c r="K54" s="5"/>
      <c r="L54" s="6">
        <v>24</v>
      </c>
      <c r="M54" s="6">
        <v>86</v>
      </c>
      <c r="N54" s="6">
        <v>7</v>
      </c>
      <c r="O54" s="6">
        <v>15</v>
      </c>
      <c r="P54" s="6">
        <v>49</v>
      </c>
      <c r="Q54" s="6">
        <v>2</v>
      </c>
      <c r="R54" s="6">
        <v>15</v>
      </c>
      <c r="S54" s="6">
        <v>1</v>
      </c>
      <c r="T54" s="6">
        <v>3</v>
      </c>
      <c r="U54" s="6">
        <v>14</v>
      </c>
      <c r="V54" s="6">
        <v>20</v>
      </c>
      <c r="W54" s="6">
        <v>16</v>
      </c>
      <c r="X54" s="6">
        <v>23</v>
      </c>
      <c r="Y54" s="6">
        <v>-3</v>
      </c>
      <c r="Z54" s="6">
        <v>12</v>
      </c>
      <c r="AA54" s="6">
        <v>8</v>
      </c>
      <c r="AB54" s="6">
        <v>1</v>
      </c>
      <c r="AC54" s="5"/>
      <c r="AD54" s="6">
        <v>2</v>
      </c>
      <c r="AE54" s="6">
        <v>-9</v>
      </c>
      <c r="AF54" s="6">
        <v>3</v>
      </c>
      <c r="AG54" s="5"/>
      <c r="AH54" s="5"/>
      <c r="AI54" s="6">
        <v>5</v>
      </c>
      <c r="AJ54" s="6">
        <v>7</v>
      </c>
      <c r="AK54" s="6">
        <v>14</v>
      </c>
      <c r="AL54" s="6">
        <v>315</v>
      </c>
    </row>
    <row r="55" spans="1:38" ht="11.1" customHeight="1" x14ac:dyDescent="0.2">
      <c r="A55" s="4" t="s">
        <v>141</v>
      </c>
      <c r="B55" s="4" t="s">
        <v>142</v>
      </c>
      <c r="C55" s="4" t="s">
        <v>1233</v>
      </c>
      <c r="D55" s="4">
        <v>10</v>
      </c>
      <c r="E55" s="5"/>
      <c r="F55" s="5"/>
      <c r="G55" s="5"/>
      <c r="H55" s="5"/>
      <c r="I55" s="5"/>
      <c r="J55" s="5"/>
      <c r="K55" s="5"/>
      <c r="L55" s="6">
        <v>10</v>
      </c>
      <c r="M55" s="6">
        <v>31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6">
        <v>-10</v>
      </c>
      <c r="Z55" s="5"/>
      <c r="AA55" s="5"/>
      <c r="AB55" s="5"/>
      <c r="AC55" s="5"/>
      <c r="AD55" s="5"/>
      <c r="AE55" s="6">
        <v>-17</v>
      </c>
      <c r="AF55" s="5"/>
      <c r="AG55" s="5"/>
      <c r="AH55" s="5"/>
      <c r="AI55" s="5"/>
      <c r="AJ55" s="5"/>
      <c r="AK55" s="5"/>
      <c r="AL55" s="6">
        <v>14</v>
      </c>
    </row>
    <row r="56" spans="1:38" ht="11.1" customHeight="1" x14ac:dyDescent="0.2">
      <c r="A56" s="4" t="s">
        <v>143</v>
      </c>
      <c r="B56" s="4" t="s">
        <v>144</v>
      </c>
      <c r="C56" s="4" t="s">
        <v>1234</v>
      </c>
      <c r="D56" s="4">
        <v>10</v>
      </c>
      <c r="E56" s="5"/>
      <c r="F56" s="5"/>
      <c r="G56" s="5"/>
      <c r="H56" s="5"/>
      <c r="I56" s="5"/>
      <c r="J56" s="5"/>
      <c r="K56" s="5"/>
      <c r="L56" s="6">
        <v>20</v>
      </c>
      <c r="M56" s="6">
        <v>65</v>
      </c>
      <c r="N56" s="6">
        <v>8</v>
      </c>
      <c r="O56" s="6">
        <v>11</v>
      </c>
      <c r="P56" s="6">
        <v>42</v>
      </c>
      <c r="Q56" s="5"/>
      <c r="R56" s="6">
        <v>14</v>
      </c>
      <c r="S56" s="6">
        <v>1</v>
      </c>
      <c r="T56" s="6">
        <v>14</v>
      </c>
      <c r="U56" s="6">
        <v>10</v>
      </c>
      <c r="V56" s="5"/>
      <c r="W56" s="6">
        <v>1</v>
      </c>
      <c r="X56" s="6">
        <v>3</v>
      </c>
      <c r="Y56" s="6">
        <v>7</v>
      </c>
      <c r="Z56" s="5"/>
      <c r="AA56" s="5"/>
      <c r="AB56" s="5"/>
      <c r="AC56" s="5"/>
      <c r="AD56" s="6">
        <v>1</v>
      </c>
      <c r="AE56" s="6">
        <v>-28</v>
      </c>
      <c r="AF56" s="5"/>
      <c r="AG56" s="5"/>
      <c r="AH56" s="6">
        <v>2</v>
      </c>
      <c r="AI56" s="6">
        <v>21</v>
      </c>
      <c r="AJ56" s="5"/>
      <c r="AK56" s="6">
        <v>8</v>
      </c>
      <c r="AL56" s="6">
        <v>200</v>
      </c>
    </row>
    <row r="57" spans="1:38" ht="11.1" customHeight="1" x14ac:dyDescent="0.2">
      <c r="A57" s="4" t="s">
        <v>145</v>
      </c>
      <c r="B57" s="4" t="s">
        <v>146</v>
      </c>
      <c r="C57" s="4" t="s">
        <v>1235</v>
      </c>
      <c r="D57" s="4">
        <v>10</v>
      </c>
      <c r="E57" s="5"/>
      <c r="F57" s="5"/>
      <c r="G57" s="5"/>
      <c r="H57" s="5"/>
      <c r="I57" s="5"/>
      <c r="J57" s="5"/>
      <c r="K57" s="5"/>
      <c r="L57" s="6">
        <v>10</v>
      </c>
      <c r="M57" s="6">
        <v>29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6">
        <v>-9</v>
      </c>
      <c r="Z57" s="6">
        <v>6</v>
      </c>
      <c r="AA57" s="6">
        <v>2</v>
      </c>
      <c r="AB57" s="5"/>
      <c r="AC57" s="6">
        <v>2</v>
      </c>
      <c r="AD57" s="6">
        <v>4</v>
      </c>
      <c r="AE57" s="6">
        <v>-19</v>
      </c>
      <c r="AF57" s="5"/>
      <c r="AG57" s="5"/>
      <c r="AH57" s="5"/>
      <c r="AI57" s="5"/>
      <c r="AJ57" s="6">
        <v>10</v>
      </c>
      <c r="AK57" s="5"/>
      <c r="AL57" s="6">
        <v>35</v>
      </c>
    </row>
    <row r="58" spans="1:38" ht="11.1" customHeight="1" x14ac:dyDescent="0.2">
      <c r="A58" s="4" t="s">
        <v>147</v>
      </c>
      <c r="B58" s="4" t="s">
        <v>148</v>
      </c>
      <c r="C58" s="4" t="s">
        <v>1236</v>
      </c>
      <c r="D58" s="4">
        <v>5</v>
      </c>
      <c r="E58" s="5"/>
      <c r="F58" s="5"/>
      <c r="G58" s="5"/>
      <c r="H58" s="5"/>
      <c r="I58" s="5"/>
      <c r="J58" s="5"/>
      <c r="K58" s="5"/>
      <c r="L58" s="6">
        <v>6</v>
      </c>
      <c r="M58" s="6">
        <v>23</v>
      </c>
      <c r="N58" s="6">
        <v>16</v>
      </c>
      <c r="O58" s="5"/>
      <c r="P58" s="6">
        <v>28</v>
      </c>
      <c r="Q58" s="5"/>
      <c r="R58" s="6">
        <v>15</v>
      </c>
      <c r="S58" s="6">
        <v>-1</v>
      </c>
      <c r="T58" s="5"/>
      <c r="U58" s="6">
        <v>18</v>
      </c>
      <c r="V58" s="5"/>
      <c r="W58" s="5"/>
      <c r="X58" s="6">
        <v>2</v>
      </c>
      <c r="Y58" s="6">
        <v>-2</v>
      </c>
      <c r="Z58" s="5"/>
      <c r="AA58" s="5"/>
      <c r="AB58" s="5"/>
      <c r="AC58" s="6">
        <v>1</v>
      </c>
      <c r="AD58" s="6">
        <v>1</v>
      </c>
      <c r="AE58" s="6">
        <v>-3</v>
      </c>
      <c r="AF58" s="5"/>
      <c r="AG58" s="5"/>
      <c r="AH58" s="5"/>
      <c r="AI58" s="6">
        <v>36</v>
      </c>
      <c r="AJ58" s="5"/>
      <c r="AK58" s="5"/>
      <c r="AL58" s="6">
        <v>140</v>
      </c>
    </row>
    <row r="59" spans="1:38" ht="11.1" customHeight="1" x14ac:dyDescent="0.2">
      <c r="A59" s="4" t="s">
        <v>149</v>
      </c>
      <c r="B59" s="4" t="s">
        <v>150</v>
      </c>
      <c r="C59" s="4" t="s">
        <v>1237</v>
      </c>
      <c r="D59" s="4">
        <v>10</v>
      </c>
      <c r="E59" s="5"/>
      <c r="F59" s="5"/>
      <c r="G59" s="5"/>
      <c r="H59" s="5"/>
      <c r="I59" s="5"/>
      <c r="J59" s="5"/>
      <c r="K59" s="5"/>
      <c r="L59" s="6">
        <v>10</v>
      </c>
      <c r="M59" s="6">
        <v>19</v>
      </c>
      <c r="N59" s="6">
        <v>2</v>
      </c>
      <c r="O59" s="6">
        <v>13</v>
      </c>
      <c r="P59" s="6">
        <v>12</v>
      </c>
      <c r="Q59" s="5"/>
      <c r="R59" s="6">
        <v>10</v>
      </c>
      <c r="S59" s="5"/>
      <c r="T59" s="5"/>
      <c r="U59" s="6">
        <v>26</v>
      </c>
      <c r="V59" s="6">
        <v>10</v>
      </c>
      <c r="W59" s="6">
        <v>8</v>
      </c>
      <c r="X59" s="6">
        <v>4</v>
      </c>
      <c r="Y59" s="6">
        <v>-7</v>
      </c>
      <c r="Z59" s="6">
        <v>2</v>
      </c>
      <c r="AA59" s="5"/>
      <c r="AB59" s="6">
        <v>4</v>
      </c>
      <c r="AC59" s="5"/>
      <c r="AD59" s="5"/>
      <c r="AE59" s="6">
        <v>-4</v>
      </c>
      <c r="AF59" s="5"/>
      <c r="AG59" s="5"/>
      <c r="AH59" s="5"/>
      <c r="AI59" s="6">
        <v>4</v>
      </c>
      <c r="AJ59" s="6">
        <v>8</v>
      </c>
      <c r="AK59" s="5"/>
      <c r="AL59" s="6">
        <v>121</v>
      </c>
    </row>
    <row r="60" spans="1:38" ht="11.1" customHeight="1" x14ac:dyDescent="0.2">
      <c r="A60" s="4" t="s">
        <v>151</v>
      </c>
      <c r="B60" s="4" t="s">
        <v>152</v>
      </c>
      <c r="C60" s="4" t="s">
        <v>1238</v>
      </c>
      <c r="D60" s="4">
        <v>5</v>
      </c>
      <c r="E60" s="5"/>
      <c r="F60" s="5"/>
      <c r="G60" s="5"/>
      <c r="H60" s="5"/>
      <c r="I60" s="5"/>
      <c r="J60" s="5"/>
      <c r="K60" s="5"/>
      <c r="L60" s="6">
        <v>5</v>
      </c>
      <c r="M60" s="6">
        <v>20</v>
      </c>
      <c r="N60" s="6">
        <v>3</v>
      </c>
      <c r="O60" s="5"/>
      <c r="P60" s="6">
        <v>1</v>
      </c>
      <c r="Q60" s="5"/>
      <c r="R60" s="6">
        <v>3</v>
      </c>
      <c r="S60" s="5"/>
      <c r="T60" s="5"/>
      <c r="U60" s="6">
        <v>1</v>
      </c>
      <c r="V60" s="6">
        <v>12</v>
      </c>
      <c r="W60" s="5"/>
      <c r="X60" s="5"/>
      <c r="Y60" s="6">
        <v>-3</v>
      </c>
      <c r="Z60" s="5"/>
      <c r="AA60" s="5"/>
      <c r="AB60" s="6">
        <v>1</v>
      </c>
      <c r="AC60" s="5"/>
      <c r="AD60" s="5"/>
      <c r="AE60" s="6">
        <v>-9</v>
      </c>
      <c r="AF60" s="5"/>
      <c r="AG60" s="5"/>
      <c r="AH60" s="5"/>
      <c r="AI60" s="5"/>
      <c r="AJ60" s="5"/>
      <c r="AK60" s="5"/>
      <c r="AL60" s="6">
        <v>34</v>
      </c>
    </row>
    <row r="61" spans="1:38" ht="23.1" customHeight="1" x14ac:dyDescent="0.2">
      <c r="A61" s="4" t="s">
        <v>153</v>
      </c>
      <c r="B61" s="4" t="s">
        <v>154</v>
      </c>
      <c r="C61" s="4" t="s">
        <v>1239</v>
      </c>
      <c r="D61" s="4">
        <v>1</v>
      </c>
      <c r="E61" s="5"/>
      <c r="F61" s="5"/>
      <c r="G61" s="5"/>
      <c r="H61" s="5"/>
      <c r="I61" s="5"/>
      <c r="J61" s="5"/>
      <c r="K61" s="5"/>
      <c r="L61" s="5"/>
      <c r="M61" s="6">
        <v>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6">
        <v>2</v>
      </c>
      <c r="AJ61" s="5"/>
      <c r="AK61" s="5"/>
      <c r="AL61" s="6">
        <v>4</v>
      </c>
    </row>
    <row r="62" spans="1:38" ht="11.1" customHeight="1" x14ac:dyDescent="0.2">
      <c r="A62" s="4" t="s">
        <v>155</v>
      </c>
      <c r="B62" s="4" t="s">
        <v>156</v>
      </c>
      <c r="C62" s="4" t="s">
        <v>1240</v>
      </c>
      <c r="D62" s="4">
        <v>10</v>
      </c>
      <c r="E62" s="5"/>
      <c r="F62" s="5"/>
      <c r="G62" s="5"/>
      <c r="H62" s="5"/>
      <c r="I62" s="5"/>
      <c r="J62" s="5"/>
      <c r="K62" s="5"/>
      <c r="L62" s="6">
        <v>20</v>
      </c>
      <c r="M62" s="6">
        <v>10</v>
      </c>
      <c r="N62" s="6">
        <v>10</v>
      </c>
      <c r="O62" s="6">
        <v>2</v>
      </c>
      <c r="P62" s="5"/>
      <c r="Q62" s="5"/>
      <c r="R62" s="5"/>
      <c r="S62" s="5"/>
      <c r="T62" s="5"/>
      <c r="U62" s="5"/>
      <c r="V62" s="5"/>
      <c r="W62" s="6">
        <v>1</v>
      </c>
      <c r="X62" s="5"/>
      <c r="Y62" s="6">
        <v>-17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6">
        <v>26</v>
      </c>
    </row>
    <row r="63" spans="1:38" ht="11.1" customHeight="1" x14ac:dyDescent="0.2">
      <c r="A63" s="4" t="s">
        <v>157</v>
      </c>
      <c r="B63" s="4" t="s">
        <v>158</v>
      </c>
      <c r="C63" s="4" t="s">
        <v>1241</v>
      </c>
      <c r="D63" s="4">
        <v>5</v>
      </c>
      <c r="E63" s="5"/>
      <c r="F63" s="5"/>
      <c r="G63" s="5"/>
      <c r="H63" s="5"/>
      <c r="I63" s="5"/>
      <c r="J63" s="5"/>
      <c r="K63" s="5"/>
      <c r="L63" s="6">
        <v>5</v>
      </c>
      <c r="M63" s="6">
        <v>23</v>
      </c>
      <c r="N63" s="5"/>
      <c r="O63" s="5"/>
      <c r="P63" s="6">
        <v>7</v>
      </c>
      <c r="Q63" s="6">
        <v>1</v>
      </c>
      <c r="R63" s="6">
        <v>3</v>
      </c>
      <c r="S63" s="5"/>
      <c r="T63" s="6">
        <v>2</v>
      </c>
      <c r="U63" s="5"/>
      <c r="V63" s="5"/>
      <c r="W63" s="5"/>
      <c r="X63" s="6">
        <v>2</v>
      </c>
      <c r="Y63" s="6">
        <v>-5</v>
      </c>
      <c r="Z63" s="5"/>
      <c r="AA63" s="6">
        <v>4</v>
      </c>
      <c r="AB63" s="5"/>
      <c r="AC63" s="5"/>
      <c r="AD63" s="5"/>
      <c r="AE63" s="6">
        <v>-10</v>
      </c>
      <c r="AF63" s="5"/>
      <c r="AG63" s="5"/>
      <c r="AH63" s="5"/>
      <c r="AI63" s="5"/>
      <c r="AJ63" s="5"/>
      <c r="AK63" s="5"/>
      <c r="AL63" s="6">
        <v>32</v>
      </c>
    </row>
    <row r="64" spans="1:38" ht="11.1" customHeight="1" x14ac:dyDescent="0.2">
      <c r="A64" s="4" t="s">
        <v>159</v>
      </c>
      <c r="B64" s="4" t="s">
        <v>160</v>
      </c>
      <c r="C64" s="4" t="s">
        <v>1242</v>
      </c>
      <c r="D64" s="4">
        <v>20</v>
      </c>
      <c r="E64" s="5"/>
      <c r="F64" s="5"/>
      <c r="G64" s="5"/>
      <c r="H64" s="5"/>
      <c r="I64" s="5"/>
      <c r="J64" s="5"/>
      <c r="K64" s="5"/>
      <c r="L64" s="6">
        <v>34</v>
      </c>
      <c r="M64" s="6">
        <v>178</v>
      </c>
      <c r="N64" s="6">
        <v>29</v>
      </c>
      <c r="O64" s="6">
        <v>51</v>
      </c>
      <c r="P64" s="6">
        <v>121</v>
      </c>
      <c r="Q64" s="6">
        <v>3</v>
      </c>
      <c r="R64" s="6">
        <v>26</v>
      </c>
      <c r="S64" s="5"/>
      <c r="T64" s="6">
        <v>6</v>
      </c>
      <c r="U64" s="6">
        <v>69</v>
      </c>
      <c r="V64" s="6">
        <v>1</v>
      </c>
      <c r="W64" s="6">
        <v>35</v>
      </c>
      <c r="X64" s="6">
        <v>30</v>
      </c>
      <c r="Y64" s="6">
        <v>25</v>
      </c>
      <c r="Z64" s="6">
        <v>38</v>
      </c>
      <c r="AA64" s="6">
        <v>20</v>
      </c>
      <c r="AB64" s="6">
        <v>2</v>
      </c>
      <c r="AC64" s="6">
        <v>3</v>
      </c>
      <c r="AD64" s="6">
        <v>8</v>
      </c>
      <c r="AE64" s="6">
        <v>-37</v>
      </c>
      <c r="AF64" s="5"/>
      <c r="AG64" s="5"/>
      <c r="AH64" s="5"/>
      <c r="AI64" s="6">
        <v>38</v>
      </c>
      <c r="AJ64" s="6">
        <v>30</v>
      </c>
      <c r="AK64" s="6">
        <v>22</v>
      </c>
      <c r="AL64" s="6">
        <v>732</v>
      </c>
    </row>
    <row r="65" spans="1:38" ht="11.1" customHeight="1" x14ac:dyDescent="0.2">
      <c r="A65" s="4" t="s">
        <v>161</v>
      </c>
      <c r="B65" s="4" t="s">
        <v>162</v>
      </c>
      <c r="C65" s="4" t="s">
        <v>1243</v>
      </c>
      <c r="D65" s="4">
        <v>10</v>
      </c>
      <c r="E65" s="5"/>
      <c r="F65" s="5"/>
      <c r="G65" s="5"/>
      <c r="H65" s="5"/>
      <c r="I65" s="5"/>
      <c r="J65" s="5"/>
      <c r="K65" s="5"/>
      <c r="L65" s="6">
        <v>30</v>
      </c>
      <c r="M65" s="6">
        <v>85</v>
      </c>
      <c r="N65" s="6">
        <v>22</v>
      </c>
      <c r="O65" s="6">
        <v>15</v>
      </c>
      <c r="P65" s="6">
        <v>55</v>
      </c>
      <c r="Q65" s="5"/>
      <c r="R65" s="6">
        <v>21</v>
      </c>
      <c r="S65" s="5"/>
      <c r="T65" s="5"/>
      <c r="U65" s="6">
        <v>22</v>
      </c>
      <c r="V65" s="5"/>
      <c r="W65" s="6">
        <v>18</v>
      </c>
      <c r="X65" s="6">
        <v>38</v>
      </c>
      <c r="Y65" s="6">
        <v>-19</v>
      </c>
      <c r="Z65" s="6">
        <v>16</v>
      </c>
      <c r="AA65" s="6">
        <v>5</v>
      </c>
      <c r="AB65" s="5"/>
      <c r="AC65" s="5"/>
      <c r="AD65" s="5"/>
      <c r="AE65" s="6">
        <v>2</v>
      </c>
      <c r="AF65" s="6">
        <v>3</v>
      </c>
      <c r="AG65" s="5"/>
      <c r="AH65" s="5"/>
      <c r="AI65" s="6">
        <v>38</v>
      </c>
      <c r="AJ65" s="6">
        <v>2</v>
      </c>
      <c r="AK65" s="6">
        <v>14</v>
      </c>
      <c r="AL65" s="6">
        <v>367</v>
      </c>
    </row>
    <row r="66" spans="1:38" ht="11.1" customHeight="1" x14ac:dyDescent="0.2">
      <c r="A66" s="4" t="s">
        <v>163</v>
      </c>
      <c r="B66" s="4" t="s">
        <v>164</v>
      </c>
      <c r="C66" s="4" t="s">
        <v>1244</v>
      </c>
      <c r="D66" s="4">
        <v>5</v>
      </c>
      <c r="E66" s="5"/>
      <c r="F66" s="5"/>
      <c r="G66" s="5"/>
      <c r="H66" s="5"/>
      <c r="I66" s="5"/>
      <c r="J66" s="5"/>
      <c r="K66" s="5"/>
      <c r="L66" s="6">
        <v>20</v>
      </c>
      <c r="M66" s="6">
        <v>29</v>
      </c>
      <c r="N66" s="6">
        <v>17</v>
      </c>
      <c r="O66" s="6">
        <v>3</v>
      </c>
      <c r="P66" s="6">
        <v>16</v>
      </c>
      <c r="Q66" s="5"/>
      <c r="R66" s="6">
        <v>8</v>
      </c>
      <c r="S66" s="6">
        <v>1</v>
      </c>
      <c r="T66" s="6">
        <v>2</v>
      </c>
      <c r="U66" s="6">
        <v>2</v>
      </c>
      <c r="V66" s="5"/>
      <c r="W66" s="6">
        <v>8</v>
      </c>
      <c r="X66" s="6">
        <v>3</v>
      </c>
      <c r="Y66" s="6">
        <v>-12</v>
      </c>
      <c r="Z66" s="6">
        <v>8</v>
      </c>
      <c r="AA66" s="6">
        <v>3</v>
      </c>
      <c r="AB66" s="5"/>
      <c r="AC66" s="5"/>
      <c r="AD66" s="5"/>
      <c r="AE66" s="6">
        <v>-8</v>
      </c>
      <c r="AF66" s="6">
        <v>1</v>
      </c>
      <c r="AG66" s="5"/>
      <c r="AH66" s="6">
        <v>1</v>
      </c>
      <c r="AI66" s="6">
        <v>9</v>
      </c>
      <c r="AJ66" s="6">
        <v>5</v>
      </c>
      <c r="AK66" s="6">
        <v>3</v>
      </c>
      <c r="AL66" s="6">
        <v>119</v>
      </c>
    </row>
    <row r="67" spans="1:38" ht="11.1" customHeight="1" x14ac:dyDescent="0.2">
      <c r="A67" s="4" t="s">
        <v>165</v>
      </c>
      <c r="B67" s="4" t="s">
        <v>166</v>
      </c>
      <c r="C67" s="4" t="s">
        <v>1245</v>
      </c>
      <c r="D67" s="4">
        <v>5</v>
      </c>
      <c r="E67" s="5"/>
      <c r="F67" s="5"/>
      <c r="G67" s="5"/>
      <c r="H67" s="5"/>
      <c r="I67" s="5"/>
      <c r="J67" s="5"/>
      <c r="K67" s="5"/>
      <c r="L67" s="6">
        <v>10</v>
      </c>
      <c r="M67" s="6">
        <v>21</v>
      </c>
      <c r="N67" s="6">
        <v>2</v>
      </c>
      <c r="O67" s="6">
        <v>2</v>
      </c>
      <c r="P67" s="6">
        <v>20</v>
      </c>
      <c r="Q67" s="5"/>
      <c r="R67" s="6">
        <v>12</v>
      </c>
      <c r="S67" s="5"/>
      <c r="T67" s="5"/>
      <c r="U67" s="5"/>
      <c r="V67" s="5"/>
      <c r="W67" s="6">
        <v>2</v>
      </c>
      <c r="X67" s="6">
        <v>5</v>
      </c>
      <c r="Y67" s="6">
        <v>-7</v>
      </c>
      <c r="Z67" s="6">
        <v>1</v>
      </c>
      <c r="AA67" s="5"/>
      <c r="AB67" s="5"/>
      <c r="AC67" s="5"/>
      <c r="AD67" s="5"/>
      <c r="AE67" s="6">
        <v>-7</v>
      </c>
      <c r="AF67" s="5"/>
      <c r="AG67" s="5"/>
      <c r="AH67" s="5"/>
      <c r="AI67" s="6">
        <v>6</v>
      </c>
      <c r="AJ67" s="6">
        <v>2</v>
      </c>
      <c r="AK67" s="6">
        <v>3</v>
      </c>
      <c r="AL67" s="6">
        <v>72</v>
      </c>
    </row>
    <row r="68" spans="1:38" ht="11.1" customHeight="1" x14ac:dyDescent="0.2">
      <c r="A68" s="4" t="s">
        <v>167</v>
      </c>
      <c r="B68" s="4" t="s">
        <v>168</v>
      </c>
      <c r="C68" s="4" t="s">
        <v>1246</v>
      </c>
      <c r="D68" s="4">
        <v>5</v>
      </c>
      <c r="E68" s="5"/>
      <c r="F68" s="5"/>
      <c r="G68" s="5"/>
      <c r="H68" s="5"/>
      <c r="I68" s="5"/>
      <c r="J68" s="5"/>
      <c r="K68" s="5"/>
      <c r="L68" s="6">
        <v>10</v>
      </c>
      <c r="M68" s="6">
        <v>19</v>
      </c>
      <c r="N68" s="6">
        <v>2</v>
      </c>
      <c r="O68" s="5"/>
      <c r="P68" s="5"/>
      <c r="Q68" s="5"/>
      <c r="R68" s="5"/>
      <c r="S68" s="5"/>
      <c r="T68" s="6">
        <v>1</v>
      </c>
      <c r="U68" s="5"/>
      <c r="V68" s="5"/>
      <c r="W68" s="5"/>
      <c r="X68" s="5"/>
      <c r="Y68" s="6">
        <v>-9</v>
      </c>
      <c r="Z68" s="5"/>
      <c r="AA68" s="5"/>
      <c r="AB68" s="5"/>
      <c r="AC68" s="5"/>
      <c r="AD68" s="5"/>
      <c r="AE68" s="6">
        <v>-10</v>
      </c>
      <c r="AF68" s="5"/>
      <c r="AG68" s="5"/>
      <c r="AH68" s="5"/>
      <c r="AI68" s="6">
        <v>1</v>
      </c>
      <c r="AJ68" s="6">
        <v>3</v>
      </c>
      <c r="AK68" s="6">
        <v>1</v>
      </c>
      <c r="AL68" s="6">
        <v>18</v>
      </c>
    </row>
    <row r="69" spans="1:38" ht="11.1" customHeight="1" x14ac:dyDescent="0.2">
      <c r="A69" s="4" t="s">
        <v>169</v>
      </c>
      <c r="B69" s="4" t="s">
        <v>170</v>
      </c>
      <c r="C69" s="4" t="s">
        <v>1247</v>
      </c>
      <c r="D69" s="4">
        <v>10</v>
      </c>
      <c r="E69" s="5"/>
      <c r="F69" s="5"/>
      <c r="G69" s="5"/>
      <c r="H69" s="5"/>
      <c r="I69" s="5"/>
      <c r="J69" s="5"/>
      <c r="K69" s="5"/>
      <c r="L69" s="6">
        <v>10</v>
      </c>
      <c r="M69" s="6">
        <v>19</v>
      </c>
      <c r="N69" s="6">
        <v>14</v>
      </c>
      <c r="O69" s="6">
        <v>17</v>
      </c>
      <c r="P69" s="6">
        <v>2</v>
      </c>
      <c r="Q69" s="5"/>
      <c r="R69" s="6">
        <v>7</v>
      </c>
      <c r="S69" s="5"/>
      <c r="T69" s="5"/>
      <c r="U69" s="6">
        <v>3</v>
      </c>
      <c r="V69" s="5"/>
      <c r="W69" s="6">
        <v>9</v>
      </c>
      <c r="X69" s="5"/>
      <c r="Y69" s="6">
        <v>-7</v>
      </c>
      <c r="Z69" s="6">
        <v>4</v>
      </c>
      <c r="AA69" s="5"/>
      <c r="AB69" s="6">
        <v>1</v>
      </c>
      <c r="AC69" s="5"/>
      <c r="AD69" s="5"/>
      <c r="AE69" s="6">
        <v>-9</v>
      </c>
      <c r="AF69" s="5"/>
      <c r="AG69" s="5"/>
      <c r="AH69" s="5"/>
      <c r="AI69" s="5"/>
      <c r="AJ69" s="5"/>
      <c r="AK69" s="5"/>
      <c r="AL69" s="6">
        <v>70</v>
      </c>
    </row>
    <row r="70" spans="1:38" ht="11.1" customHeight="1" x14ac:dyDescent="0.2">
      <c r="A70" s="4" t="s">
        <v>171</v>
      </c>
      <c r="B70" s="4" t="s">
        <v>172</v>
      </c>
      <c r="C70" s="4" t="s">
        <v>1248</v>
      </c>
      <c r="D70" s="4">
        <v>10</v>
      </c>
      <c r="E70" s="5"/>
      <c r="F70" s="5"/>
      <c r="G70" s="5"/>
      <c r="H70" s="5"/>
      <c r="I70" s="5"/>
      <c r="J70" s="5"/>
      <c r="K70" s="5"/>
      <c r="L70" s="6">
        <v>6</v>
      </c>
      <c r="M70" s="6">
        <v>10</v>
      </c>
      <c r="N70" s="6">
        <v>10</v>
      </c>
      <c r="O70" s="5"/>
      <c r="P70" s="6">
        <v>20</v>
      </c>
      <c r="Q70" s="6">
        <v>-20</v>
      </c>
      <c r="R70" s="5"/>
      <c r="S70" s="6">
        <v>1</v>
      </c>
      <c r="T70" s="5"/>
      <c r="U70" s="6">
        <v>2</v>
      </c>
      <c r="V70" s="5"/>
      <c r="W70" s="5"/>
      <c r="X70" s="5"/>
      <c r="Y70" s="6">
        <v>-6</v>
      </c>
      <c r="Z70" s="6">
        <v>4</v>
      </c>
      <c r="AA70" s="5"/>
      <c r="AB70" s="5"/>
      <c r="AC70" s="6">
        <v>2</v>
      </c>
      <c r="AD70" s="6">
        <v>8</v>
      </c>
      <c r="AE70" s="5"/>
      <c r="AF70" s="5"/>
      <c r="AG70" s="5"/>
      <c r="AH70" s="5"/>
      <c r="AI70" s="6">
        <v>10</v>
      </c>
      <c r="AJ70" s="5"/>
      <c r="AK70" s="5"/>
      <c r="AL70" s="6">
        <v>47</v>
      </c>
    </row>
    <row r="71" spans="1:38" ht="11.1" customHeight="1" x14ac:dyDescent="0.2">
      <c r="A71" s="4" t="s">
        <v>173</v>
      </c>
      <c r="B71" s="4" t="s">
        <v>174</v>
      </c>
      <c r="C71" s="4" t="s">
        <v>1249</v>
      </c>
      <c r="D71" s="4">
        <v>5</v>
      </c>
      <c r="E71" s="5"/>
      <c r="F71" s="5"/>
      <c r="G71" s="5"/>
      <c r="H71" s="5"/>
      <c r="I71" s="5"/>
      <c r="J71" s="5"/>
      <c r="K71" s="5"/>
      <c r="L71" s="5"/>
      <c r="M71" s="6">
        <v>10</v>
      </c>
      <c r="N71" s="6">
        <v>10</v>
      </c>
      <c r="O71" s="5"/>
      <c r="P71" s="5"/>
      <c r="Q71" s="5"/>
      <c r="R71" s="6">
        <v>3</v>
      </c>
      <c r="S71" s="6">
        <v>-1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6">
        <v>20</v>
      </c>
      <c r="AK71" s="5"/>
      <c r="AL71" s="6">
        <v>42</v>
      </c>
    </row>
    <row r="72" spans="1:38" ht="23.1" customHeight="1" x14ac:dyDescent="0.2">
      <c r="A72" s="4" t="s">
        <v>175</v>
      </c>
      <c r="B72" s="4" t="s">
        <v>176</v>
      </c>
      <c r="C72" s="4" t="s">
        <v>1250</v>
      </c>
      <c r="D72" s="4">
        <v>10</v>
      </c>
      <c r="E72" s="5"/>
      <c r="F72" s="5"/>
      <c r="G72" s="5"/>
      <c r="H72" s="5"/>
      <c r="I72" s="5"/>
      <c r="J72" s="5"/>
      <c r="K72" s="5"/>
      <c r="L72" s="6">
        <v>10</v>
      </c>
      <c r="M72" s="6">
        <v>20</v>
      </c>
      <c r="N72" s="6">
        <v>16</v>
      </c>
      <c r="O72" s="5"/>
      <c r="P72" s="6">
        <v>7</v>
      </c>
      <c r="Q72" s="5"/>
      <c r="R72" s="6">
        <v>10</v>
      </c>
      <c r="S72" s="6">
        <v>-1</v>
      </c>
      <c r="T72" s="5"/>
      <c r="U72" s="6">
        <v>4</v>
      </c>
      <c r="V72" s="5"/>
      <c r="W72" s="6">
        <v>4</v>
      </c>
      <c r="X72" s="5"/>
      <c r="Y72" s="6">
        <v>-8</v>
      </c>
      <c r="Z72" s="5"/>
      <c r="AA72" s="6">
        <v>2</v>
      </c>
      <c r="AB72" s="5"/>
      <c r="AC72" s="6">
        <v>1</v>
      </c>
      <c r="AD72" s="6">
        <v>6</v>
      </c>
      <c r="AE72" s="6">
        <v>-9</v>
      </c>
      <c r="AF72" s="6">
        <v>4</v>
      </c>
      <c r="AG72" s="5"/>
      <c r="AH72" s="6">
        <v>1</v>
      </c>
      <c r="AI72" s="6">
        <v>10</v>
      </c>
      <c r="AJ72" s="5"/>
      <c r="AK72" s="5"/>
      <c r="AL72" s="6">
        <v>77</v>
      </c>
    </row>
    <row r="73" spans="1:38" ht="11.1" customHeight="1" x14ac:dyDescent="0.2">
      <c r="A73" s="4" t="s">
        <v>177</v>
      </c>
      <c r="B73" s="4" t="s">
        <v>178</v>
      </c>
      <c r="C73" s="4" t="s">
        <v>1251</v>
      </c>
      <c r="D73" s="4">
        <v>5</v>
      </c>
      <c r="E73" s="5"/>
      <c r="F73" s="5"/>
      <c r="G73" s="5"/>
      <c r="H73" s="5"/>
      <c r="I73" s="5"/>
      <c r="J73" s="5"/>
      <c r="K73" s="5"/>
      <c r="L73" s="6">
        <v>6</v>
      </c>
      <c r="M73" s="6">
        <v>14</v>
      </c>
      <c r="N73" s="5"/>
      <c r="O73" s="5"/>
      <c r="P73" s="5"/>
      <c r="Q73" s="6">
        <v>1</v>
      </c>
      <c r="R73" s="5"/>
      <c r="S73" s="5"/>
      <c r="T73" s="5"/>
      <c r="U73" s="5"/>
      <c r="V73" s="5"/>
      <c r="W73" s="5"/>
      <c r="X73" s="5"/>
      <c r="Y73" s="6">
        <v>-2</v>
      </c>
      <c r="Z73" s="5"/>
      <c r="AA73" s="5"/>
      <c r="AB73" s="5"/>
      <c r="AC73" s="5"/>
      <c r="AD73" s="5"/>
      <c r="AE73" s="6">
        <v>-9</v>
      </c>
      <c r="AF73" s="5"/>
      <c r="AG73" s="5"/>
      <c r="AH73" s="5"/>
      <c r="AI73" s="5"/>
      <c r="AJ73" s="5"/>
      <c r="AK73" s="5"/>
      <c r="AL73" s="6">
        <v>10</v>
      </c>
    </row>
    <row r="74" spans="1:38" ht="11.1" customHeight="1" x14ac:dyDescent="0.2">
      <c r="A74" s="4" t="s">
        <v>179</v>
      </c>
      <c r="B74" s="4" t="s">
        <v>180</v>
      </c>
      <c r="C74" s="4" t="s">
        <v>1252</v>
      </c>
      <c r="D74" s="4">
        <v>5</v>
      </c>
      <c r="E74" s="5"/>
      <c r="F74" s="5"/>
      <c r="G74" s="5"/>
      <c r="H74" s="5"/>
      <c r="I74" s="5"/>
      <c r="J74" s="5"/>
      <c r="K74" s="5"/>
      <c r="L74" s="6">
        <v>5</v>
      </c>
      <c r="M74" s="6">
        <v>10</v>
      </c>
      <c r="N74" s="6">
        <v>5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6">
        <v>-5</v>
      </c>
      <c r="Z74" s="5"/>
      <c r="AA74" s="5"/>
      <c r="AB74" s="5"/>
      <c r="AC74" s="5"/>
      <c r="AD74" s="5"/>
      <c r="AE74" s="6">
        <v>-10</v>
      </c>
      <c r="AF74" s="6">
        <v>3</v>
      </c>
      <c r="AG74" s="5"/>
      <c r="AH74" s="5"/>
      <c r="AI74" s="6">
        <v>7</v>
      </c>
      <c r="AJ74" s="5"/>
      <c r="AK74" s="5"/>
      <c r="AL74" s="6">
        <v>15</v>
      </c>
    </row>
    <row r="75" spans="1:38" ht="11.1" customHeight="1" x14ac:dyDescent="0.2">
      <c r="A75" s="4" t="s">
        <v>181</v>
      </c>
      <c r="B75" s="4" t="s">
        <v>182</v>
      </c>
      <c r="C75" s="4" t="s">
        <v>1253</v>
      </c>
      <c r="D75" s="4">
        <v>5</v>
      </c>
      <c r="E75" s="5"/>
      <c r="F75" s="5"/>
      <c r="G75" s="5"/>
      <c r="H75" s="5"/>
      <c r="I75" s="5"/>
      <c r="J75" s="5"/>
      <c r="K75" s="5"/>
      <c r="L75" s="6">
        <v>6</v>
      </c>
      <c r="M75" s="6">
        <v>10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6">
        <v>1</v>
      </c>
      <c r="Y75" s="6">
        <v>-4</v>
      </c>
      <c r="Z75" s="6">
        <v>2</v>
      </c>
      <c r="AA75" s="6">
        <v>3</v>
      </c>
      <c r="AB75" s="5"/>
      <c r="AC75" s="5"/>
      <c r="AD75" s="5"/>
      <c r="AE75" s="6">
        <v>-9</v>
      </c>
      <c r="AF75" s="5"/>
      <c r="AG75" s="5"/>
      <c r="AH75" s="5"/>
      <c r="AI75" s="5"/>
      <c r="AJ75" s="5"/>
      <c r="AK75" s="6">
        <v>5</v>
      </c>
      <c r="AL75" s="6">
        <v>14</v>
      </c>
    </row>
    <row r="76" spans="1:38" ht="23.1" customHeight="1" x14ac:dyDescent="0.2">
      <c r="A76" s="4" t="s">
        <v>183</v>
      </c>
      <c r="B76" s="4" t="s">
        <v>184</v>
      </c>
      <c r="C76" s="4" t="s">
        <v>1254</v>
      </c>
      <c r="D76" s="4">
        <v>1</v>
      </c>
      <c r="E76" s="5"/>
      <c r="F76" s="5"/>
      <c r="G76" s="5"/>
      <c r="H76" s="5"/>
      <c r="I76" s="5"/>
      <c r="J76" s="5"/>
      <c r="K76" s="5"/>
      <c r="L76" s="6">
        <v>3</v>
      </c>
      <c r="M76" s="5"/>
      <c r="N76" s="5"/>
      <c r="O76" s="5"/>
      <c r="P76" s="6">
        <v>6</v>
      </c>
      <c r="Q76" s="5"/>
      <c r="R76" s="5"/>
      <c r="S76" s="5"/>
      <c r="T76" s="5"/>
      <c r="U76" s="5"/>
      <c r="V76" s="5"/>
      <c r="W76" s="5"/>
      <c r="X76" s="5"/>
      <c r="Y76" s="6">
        <v>-3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6">
        <v>6</v>
      </c>
    </row>
    <row r="77" spans="1:38" ht="23.1" customHeight="1" x14ac:dyDescent="0.2">
      <c r="A77" s="4" t="s">
        <v>185</v>
      </c>
      <c r="B77" s="4" t="s">
        <v>186</v>
      </c>
      <c r="C77" s="4" t="s">
        <v>1255</v>
      </c>
      <c r="D77" s="4">
        <v>1</v>
      </c>
      <c r="E77" s="5"/>
      <c r="F77" s="5"/>
      <c r="G77" s="5"/>
      <c r="H77" s="5"/>
      <c r="I77" s="5"/>
      <c r="J77" s="5"/>
      <c r="K77" s="5"/>
      <c r="L77" s="6">
        <v>3</v>
      </c>
      <c r="M77" s="6">
        <v>1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6">
        <v>-3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6">
        <v>1</v>
      </c>
    </row>
    <row r="78" spans="1:38" ht="11.1" customHeight="1" x14ac:dyDescent="0.2">
      <c r="A78" s="4" t="s">
        <v>187</v>
      </c>
      <c r="B78" s="4" t="s">
        <v>188</v>
      </c>
      <c r="C78" s="4" t="s">
        <v>1256</v>
      </c>
      <c r="D78" s="4">
        <v>10</v>
      </c>
      <c r="E78" s="5"/>
      <c r="F78" s="5"/>
      <c r="G78" s="5"/>
      <c r="H78" s="5"/>
      <c r="I78" s="5"/>
      <c r="J78" s="5"/>
      <c r="K78" s="5"/>
      <c r="L78" s="6">
        <v>3</v>
      </c>
      <c r="M78" s="6">
        <v>1</v>
      </c>
      <c r="N78" s="5"/>
      <c r="O78" s="5"/>
      <c r="P78" s="5"/>
      <c r="Q78" s="5"/>
      <c r="R78" s="5"/>
      <c r="S78" s="5"/>
      <c r="T78" s="5"/>
      <c r="U78" s="6">
        <v>1</v>
      </c>
      <c r="V78" s="5"/>
      <c r="W78" s="5"/>
      <c r="X78" s="5"/>
      <c r="Y78" s="5"/>
      <c r="Z78" s="6">
        <v>2</v>
      </c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6">
        <v>7</v>
      </c>
    </row>
    <row r="79" spans="1:38" ht="11.1" customHeight="1" x14ac:dyDescent="0.2">
      <c r="A79" s="4" t="s">
        <v>189</v>
      </c>
      <c r="B79" s="4" t="s">
        <v>190</v>
      </c>
      <c r="C79" s="4" t="s">
        <v>1257</v>
      </c>
      <c r="D79" s="4">
        <v>10</v>
      </c>
      <c r="E79" s="5"/>
      <c r="F79" s="5"/>
      <c r="G79" s="5"/>
      <c r="H79" s="5"/>
      <c r="I79" s="5"/>
      <c r="J79" s="5"/>
      <c r="K79" s="5"/>
      <c r="L79" s="6">
        <v>44</v>
      </c>
      <c r="M79" s="6">
        <v>477</v>
      </c>
      <c r="N79" s="6">
        <v>224</v>
      </c>
      <c r="O79" s="6">
        <v>361</v>
      </c>
      <c r="P79" s="6">
        <v>385</v>
      </c>
      <c r="Q79" s="6">
        <v>149</v>
      </c>
      <c r="R79" s="6">
        <v>506</v>
      </c>
      <c r="S79" s="6">
        <v>380</v>
      </c>
      <c r="T79" s="6">
        <v>380</v>
      </c>
      <c r="U79" s="6">
        <v>268</v>
      </c>
      <c r="V79" s="6">
        <v>120</v>
      </c>
      <c r="W79" s="6">
        <v>91</v>
      </c>
      <c r="X79" s="6">
        <v>213</v>
      </c>
      <c r="Y79" s="6">
        <v>56</v>
      </c>
      <c r="Z79" s="6">
        <v>186</v>
      </c>
      <c r="AA79" s="6">
        <v>184</v>
      </c>
      <c r="AB79" s="6">
        <v>172</v>
      </c>
      <c r="AC79" s="6">
        <v>159</v>
      </c>
      <c r="AD79" s="6">
        <v>126</v>
      </c>
      <c r="AE79" s="6">
        <v>27</v>
      </c>
      <c r="AF79" s="6">
        <v>32</v>
      </c>
      <c r="AG79" s="6">
        <v>179</v>
      </c>
      <c r="AH79" s="6">
        <v>30</v>
      </c>
      <c r="AI79" s="6">
        <v>252</v>
      </c>
      <c r="AJ79" s="6">
        <v>241</v>
      </c>
      <c r="AK79" s="6">
        <v>112</v>
      </c>
      <c r="AL79" s="7">
        <v>5354</v>
      </c>
    </row>
    <row r="80" spans="1:38" ht="11.1" customHeight="1" x14ac:dyDescent="0.2">
      <c r="A80" s="4" t="s">
        <v>191</v>
      </c>
      <c r="B80" s="4" t="s">
        <v>192</v>
      </c>
      <c r="C80" s="4" t="s">
        <v>1258</v>
      </c>
      <c r="D80" s="4">
        <v>10</v>
      </c>
      <c r="E80" s="5"/>
      <c r="F80" s="5"/>
      <c r="G80" s="5"/>
      <c r="H80" s="5"/>
      <c r="I80" s="5"/>
      <c r="J80" s="5"/>
      <c r="K80" s="5"/>
      <c r="L80" s="5"/>
      <c r="M80" s="6">
        <v>61</v>
      </c>
      <c r="N80" s="6">
        <v>14</v>
      </c>
      <c r="O80" s="5"/>
      <c r="P80" s="6">
        <v>33</v>
      </c>
      <c r="Q80" s="5"/>
      <c r="R80" s="5"/>
      <c r="S80" s="6">
        <v>2</v>
      </c>
      <c r="T80" s="6">
        <v>13</v>
      </c>
      <c r="U80" s="6">
        <v>28</v>
      </c>
      <c r="V80" s="5"/>
      <c r="W80" s="6">
        <v>28</v>
      </c>
      <c r="X80" s="6">
        <v>-25</v>
      </c>
      <c r="Y80" s="6">
        <v>1</v>
      </c>
      <c r="Z80" s="5"/>
      <c r="AA80" s="6">
        <v>2</v>
      </c>
      <c r="AB80" s="6">
        <v>6</v>
      </c>
      <c r="AC80" s="5"/>
      <c r="AD80" s="5"/>
      <c r="AE80" s="5"/>
      <c r="AF80" s="5"/>
      <c r="AG80" s="6">
        <v>45</v>
      </c>
      <c r="AH80" s="6">
        <v>1</v>
      </c>
      <c r="AI80" s="5"/>
      <c r="AJ80" s="5"/>
      <c r="AK80" s="6">
        <v>75</v>
      </c>
      <c r="AL80" s="6">
        <v>284</v>
      </c>
    </row>
    <row r="81" spans="1:38" ht="11.1" customHeight="1" x14ac:dyDescent="0.2">
      <c r="A81" s="4" t="s">
        <v>193</v>
      </c>
      <c r="B81" s="4" t="s">
        <v>194</v>
      </c>
      <c r="C81" s="4" t="s">
        <v>1259</v>
      </c>
      <c r="D81" s="4">
        <v>10</v>
      </c>
      <c r="E81" s="5"/>
      <c r="F81" s="5"/>
      <c r="G81" s="5"/>
      <c r="H81" s="5"/>
      <c r="I81" s="5"/>
      <c r="J81" s="5"/>
      <c r="K81" s="5"/>
      <c r="L81" s="6">
        <v>14</v>
      </c>
      <c r="M81" s="6">
        <v>135</v>
      </c>
      <c r="N81" s="6">
        <v>67</v>
      </c>
      <c r="O81" s="6">
        <v>98</v>
      </c>
      <c r="P81" s="6">
        <v>89</v>
      </c>
      <c r="Q81" s="6">
        <v>40</v>
      </c>
      <c r="R81" s="6">
        <v>78</v>
      </c>
      <c r="S81" s="6">
        <v>104</v>
      </c>
      <c r="T81" s="6">
        <v>99</v>
      </c>
      <c r="U81" s="6">
        <v>73</v>
      </c>
      <c r="V81" s="6">
        <v>37</v>
      </c>
      <c r="W81" s="6">
        <v>-9</v>
      </c>
      <c r="X81" s="6">
        <v>9</v>
      </c>
      <c r="Y81" s="6">
        <v>14</v>
      </c>
      <c r="Z81" s="6">
        <v>48</v>
      </c>
      <c r="AA81" s="6">
        <v>35</v>
      </c>
      <c r="AB81" s="6">
        <v>78</v>
      </c>
      <c r="AC81" s="6">
        <v>45</v>
      </c>
      <c r="AD81" s="6">
        <v>45</v>
      </c>
      <c r="AE81" s="6">
        <v>11</v>
      </c>
      <c r="AF81" s="6">
        <v>5</v>
      </c>
      <c r="AG81" s="6">
        <v>40</v>
      </c>
      <c r="AH81" s="6">
        <v>7</v>
      </c>
      <c r="AI81" s="6">
        <v>42</v>
      </c>
      <c r="AJ81" s="6">
        <v>59</v>
      </c>
      <c r="AK81" s="6">
        <v>36</v>
      </c>
      <c r="AL81" s="7">
        <v>1299</v>
      </c>
    </row>
    <row r="82" spans="1:38" ht="11.1" customHeight="1" x14ac:dyDescent="0.2">
      <c r="A82" s="4" t="s">
        <v>195</v>
      </c>
      <c r="B82" s="4" t="s">
        <v>196</v>
      </c>
      <c r="C82" s="4" t="s">
        <v>1260</v>
      </c>
      <c r="D82" s="4">
        <v>10</v>
      </c>
      <c r="E82" s="5"/>
      <c r="F82" s="5"/>
      <c r="G82" s="5"/>
      <c r="H82" s="5"/>
      <c r="I82" s="5"/>
      <c r="J82" s="5"/>
      <c r="K82" s="5"/>
      <c r="L82" s="5"/>
      <c r="M82" s="6">
        <v>20</v>
      </c>
      <c r="N82" s="6">
        <v>40</v>
      </c>
      <c r="O82" s="6">
        <v>29</v>
      </c>
      <c r="P82" s="6">
        <v>10</v>
      </c>
      <c r="Q82" s="5"/>
      <c r="R82" s="6">
        <v>2</v>
      </c>
      <c r="S82" s="5"/>
      <c r="T82" s="5"/>
      <c r="U82" s="5"/>
      <c r="V82" s="5"/>
      <c r="W82" s="6">
        <v>-6</v>
      </c>
      <c r="X82" s="6">
        <v>-14</v>
      </c>
      <c r="Y82" s="5"/>
      <c r="Z82" s="5"/>
      <c r="AA82" s="5"/>
      <c r="AB82" s="5"/>
      <c r="AC82" s="5"/>
      <c r="AD82" s="5"/>
      <c r="AE82" s="6">
        <v>-10</v>
      </c>
      <c r="AF82" s="5"/>
      <c r="AG82" s="5"/>
      <c r="AH82" s="5"/>
      <c r="AI82" s="5"/>
      <c r="AJ82" s="6">
        <v>12</v>
      </c>
      <c r="AK82" s="5"/>
      <c r="AL82" s="6">
        <v>83</v>
      </c>
    </row>
    <row r="83" spans="1:38" ht="11.1" customHeight="1" x14ac:dyDescent="0.2">
      <c r="A83" s="4" t="s">
        <v>197</v>
      </c>
      <c r="B83" s="4" t="s">
        <v>198</v>
      </c>
      <c r="C83" s="4" t="s">
        <v>1261</v>
      </c>
      <c r="D83" s="4">
        <v>10</v>
      </c>
      <c r="E83" s="5"/>
      <c r="F83" s="5"/>
      <c r="G83" s="5"/>
      <c r="H83" s="5"/>
      <c r="I83" s="5"/>
      <c r="J83" s="5"/>
      <c r="K83" s="5"/>
      <c r="L83" s="6">
        <v>10</v>
      </c>
      <c r="M83" s="6">
        <v>89</v>
      </c>
      <c r="N83" s="6">
        <v>32</v>
      </c>
      <c r="O83" s="6">
        <v>77</v>
      </c>
      <c r="P83" s="6">
        <v>37</v>
      </c>
      <c r="Q83" s="6">
        <v>11</v>
      </c>
      <c r="R83" s="6">
        <v>89</v>
      </c>
      <c r="S83" s="6">
        <v>56</v>
      </c>
      <c r="T83" s="6">
        <v>72</v>
      </c>
      <c r="U83" s="6">
        <v>37</v>
      </c>
      <c r="V83" s="6">
        <v>112</v>
      </c>
      <c r="W83" s="6">
        <v>32</v>
      </c>
      <c r="X83" s="6">
        <v>33</v>
      </c>
      <c r="Y83" s="6">
        <v>7</v>
      </c>
      <c r="Z83" s="6">
        <v>20</v>
      </c>
      <c r="AA83" s="6">
        <v>28</v>
      </c>
      <c r="AB83" s="6">
        <v>60</v>
      </c>
      <c r="AC83" s="6">
        <v>27</v>
      </c>
      <c r="AD83" s="6">
        <v>31</v>
      </c>
      <c r="AE83" s="6">
        <v>7</v>
      </c>
      <c r="AF83" s="6">
        <v>11</v>
      </c>
      <c r="AG83" s="6">
        <v>26</v>
      </c>
      <c r="AH83" s="6">
        <v>6</v>
      </c>
      <c r="AI83" s="6">
        <v>30</v>
      </c>
      <c r="AJ83" s="6">
        <v>35</v>
      </c>
      <c r="AK83" s="6">
        <v>27</v>
      </c>
      <c r="AL83" s="7">
        <v>1002</v>
      </c>
    </row>
    <row r="84" spans="1:38" ht="11.1" customHeight="1" x14ac:dyDescent="0.2">
      <c r="A84" s="4" t="s">
        <v>199</v>
      </c>
      <c r="B84" s="4" t="s">
        <v>200</v>
      </c>
      <c r="C84" s="4" t="s">
        <v>1262</v>
      </c>
      <c r="D84" s="4">
        <v>10</v>
      </c>
      <c r="E84" s="5"/>
      <c r="F84" s="5"/>
      <c r="G84" s="5"/>
      <c r="H84" s="5"/>
      <c r="I84" s="5"/>
      <c r="J84" s="5"/>
      <c r="K84" s="5"/>
      <c r="L84" s="5"/>
      <c r="M84" s="6">
        <v>20</v>
      </c>
      <c r="N84" s="6">
        <v>20</v>
      </c>
      <c r="O84" s="6">
        <v>18</v>
      </c>
      <c r="P84" s="5"/>
      <c r="Q84" s="5"/>
      <c r="R84" s="6">
        <v>2</v>
      </c>
      <c r="S84" s="5"/>
      <c r="T84" s="5"/>
      <c r="U84" s="5"/>
      <c r="V84" s="6">
        <v>5</v>
      </c>
      <c r="W84" s="6">
        <v>-9</v>
      </c>
      <c r="X84" s="6">
        <v>-1</v>
      </c>
      <c r="Y84" s="5"/>
      <c r="Z84" s="6">
        <v>5</v>
      </c>
      <c r="AA84" s="5"/>
      <c r="AB84" s="5"/>
      <c r="AC84" s="5"/>
      <c r="AD84" s="5"/>
      <c r="AE84" s="6">
        <v>-9</v>
      </c>
      <c r="AF84" s="5"/>
      <c r="AG84" s="5"/>
      <c r="AH84" s="5"/>
      <c r="AI84" s="5"/>
      <c r="AJ84" s="5"/>
      <c r="AK84" s="5"/>
      <c r="AL84" s="6">
        <v>51</v>
      </c>
    </row>
    <row r="85" spans="1:38" ht="11.1" customHeight="1" x14ac:dyDescent="0.2">
      <c r="A85" s="4" t="s">
        <v>201</v>
      </c>
      <c r="B85" s="4" t="s">
        <v>202</v>
      </c>
      <c r="C85" s="4" t="s">
        <v>1263</v>
      </c>
      <c r="D85" s="4">
        <v>5</v>
      </c>
      <c r="E85" s="5"/>
      <c r="F85" s="5"/>
      <c r="G85" s="5"/>
      <c r="H85" s="5"/>
      <c r="I85" s="5"/>
      <c r="J85" s="5"/>
      <c r="K85" s="5"/>
      <c r="L85" s="6">
        <v>5</v>
      </c>
      <c r="M85" s="6">
        <v>44</v>
      </c>
      <c r="N85" s="5"/>
      <c r="O85" s="6">
        <v>24</v>
      </c>
      <c r="P85" s="6">
        <v>22</v>
      </c>
      <c r="Q85" s="6">
        <v>5</v>
      </c>
      <c r="R85" s="6">
        <v>19</v>
      </c>
      <c r="S85" s="6">
        <v>-3</v>
      </c>
      <c r="T85" s="6">
        <v>16</v>
      </c>
      <c r="U85" s="6">
        <v>1</v>
      </c>
      <c r="V85" s="6">
        <v>2</v>
      </c>
      <c r="W85" s="5"/>
      <c r="X85" s="6">
        <v>-2</v>
      </c>
      <c r="Y85" s="6">
        <v>2</v>
      </c>
      <c r="Z85" s="6">
        <v>4</v>
      </c>
      <c r="AA85" s="6">
        <v>5</v>
      </c>
      <c r="AB85" s="6">
        <v>10</v>
      </c>
      <c r="AC85" s="6">
        <v>2</v>
      </c>
      <c r="AD85" s="6">
        <v>3</v>
      </c>
      <c r="AE85" s="6">
        <v>-3</v>
      </c>
      <c r="AF85" s="6">
        <v>1</v>
      </c>
      <c r="AG85" s="6">
        <v>9</v>
      </c>
      <c r="AH85" s="6">
        <v>1</v>
      </c>
      <c r="AI85" s="6">
        <v>6</v>
      </c>
      <c r="AJ85" s="6">
        <v>5</v>
      </c>
      <c r="AK85" s="5"/>
      <c r="AL85" s="6">
        <v>178</v>
      </c>
    </row>
    <row r="86" spans="1:38" ht="11.1" customHeight="1" x14ac:dyDescent="0.2">
      <c r="A86" s="4" t="s">
        <v>203</v>
      </c>
      <c r="B86" s="4" t="s">
        <v>204</v>
      </c>
      <c r="C86" s="4" t="s">
        <v>1264</v>
      </c>
      <c r="D86" s="4">
        <v>10</v>
      </c>
      <c r="E86" s="5"/>
      <c r="F86" s="5"/>
      <c r="G86" s="5"/>
      <c r="H86" s="5"/>
      <c r="I86" s="5"/>
      <c r="J86" s="5"/>
      <c r="K86" s="5"/>
      <c r="L86" s="6">
        <v>10</v>
      </c>
      <c r="M86" s="6">
        <v>39</v>
      </c>
      <c r="N86" s="6">
        <v>27</v>
      </c>
      <c r="O86" s="6">
        <v>14</v>
      </c>
      <c r="P86" s="6">
        <v>12</v>
      </c>
      <c r="Q86" s="5"/>
      <c r="R86" s="6">
        <v>28</v>
      </c>
      <c r="S86" s="6">
        <v>40</v>
      </c>
      <c r="T86" s="6">
        <v>54</v>
      </c>
      <c r="U86" s="6">
        <v>2</v>
      </c>
      <c r="V86" s="6">
        <v>34</v>
      </c>
      <c r="W86" s="6">
        <v>2</v>
      </c>
      <c r="X86" s="6">
        <v>3</v>
      </c>
      <c r="Y86" s="5"/>
      <c r="Z86" s="6">
        <v>13</v>
      </c>
      <c r="AA86" s="6">
        <v>7</v>
      </c>
      <c r="AB86" s="6">
        <v>20</v>
      </c>
      <c r="AC86" s="6">
        <v>25</v>
      </c>
      <c r="AD86" s="6">
        <v>12</v>
      </c>
      <c r="AE86" s="5"/>
      <c r="AF86" s="5"/>
      <c r="AG86" s="6">
        <v>6</v>
      </c>
      <c r="AH86" s="5"/>
      <c r="AI86" s="6">
        <v>10</v>
      </c>
      <c r="AJ86" s="6">
        <v>11</v>
      </c>
      <c r="AK86" s="6">
        <v>18</v>
      </c>
      <c r="AL86" s="6">
        <v>387</v>
      </c>
    </row>
    <row r="87" spans="1:38" ht="11.1" customHeight="1" x14ac:dyDescent="0.2">
      <c r="A87" s="4" t="s">
        <v>205</v>
      </c>
      <c r="B87" s="4" t="s">
        <v>206</v>
      </c>
      <c r="C87" s="4" t="s">
        <v>1265</v>
      </c>
      <c r="D87" s="4">
        <v>5</v>
      </c>
      <c r="E87" s="5"/>
      <c r="F87" s="5"/>
      <c r="G87" s="5"/>
      <c r="H87" s="5"/>
      <c r="I87" s="5"/>
      <c r="J87" s="5"/>
      <c r="K87" s="5"/>
      <c r="L87" s="6">
        <v>10</v>
      </c>
      <c r="M87" s="6">
        <v>20</v>
      </c>
      <c r="N87" s="5"/>
      <c r="O87" s="6">
        <v>12</v>
      </c>
      <c r="P87" s="6">
        <v>1</v>
      </c>
      <c r="Q87" s="5"/>
      <c r="R87" s="6">
        <v>8</v>
      </c>
      <c r="S87" s="5"/>
      <c r="T87" s="6">
        <v>5</v>
      </c>
      <c r="U87" s="6">
        <v>20</v>
      </c>
      <c r="V87" s="5"/>
      <c r="W87" s="6">
        <v>-4</v>
      </c>
      <c r="X87" s="6">
        <v>2</v>
      </c>
      <c r="Y87" s="5"/>
      <c r="Z87" s="6">
        <v>3</v>
      </c>
      <c r="AA87" s="5"/>
      <c r="AB87" s="6">
        <v>6</v>
      </c>
      <c r="AC87" s="5"/>
      <c r="AD87" s="5"/>
      <c r="AE87" s="6">
        <v>-8</v>
      </c>
      <c r="AF87" s="5"/>
      <c r="AG87" s="6">
        <v>3</v>
      </c>
      <c r="AH87" s="6">
        <v>2</v>
      </c>
      <c r="AI87" s="6">
        <v>2</v>
      </c>
      <c r="AJ87" s="6">
        <v>3</v>
      </c>
      <c r="AK87" s="6">
        <v>1</v>
      </c>
      <c r="AL87" s="6">
        <v>86</v>
      </c>
    </row>
    <row r="88" spans="1:38" ht="11.1" customHeight="1" x14ac:dyDescent="0.2">
      <c r="A88" s="4" t="s">
        <v>207</v>
      </c>
      <c r="B88" s="4" t="s">
        <v>208</v>
      </c>
      <c r="C88" s="4" t="s">
        <v>1266</v>
      </c>
      <c r="D88" s="4">
        <v>1</v>
      </c>
      <c r="E88" s="5"/>
      <c r="F88" s="5"/>
      <c r="G88" s="5"/>
      <c r="H88" s="5"/>
      <c r="I88" s="5"/>
      <c r="J88" s="5"/>
      <c r="K88" s="5"/>
      <c r="L88" s="5"/>
      <c r="M88" s="6">
        <v>5</v>
      </c>
      <c r="N88" s="6">
        <v>1</v>
      </c>
      <c r="O88" s="5"/>
      <c r="P88" s="5"/>
      <c r="Q88" s="5"/>
      <c r="R88" s="5"/>
      <c r="S88" s="6">
        <v>7</v>
      </c>
      <c r="T88" s="6">
        <v>14</v>
      </c>
      <c r="U88" s="5"/>
      <c r="V88" s="5"/>
      <c r="W88" s="5"/>
      <c r="X88" s="6">
        <v>-1</v>
      </c>
      <c r="Y88" s="5"/>
      <c r="Z88" s="6">
        <v>3</v>
      </c>
      <c r="AA88" s="5"/>
      <c r="AB88" s="5"/>
      <c r="AC88" s="5"/>
      <c r="AD88" s="6">
        <v>11</v>
      </c>
      <c r="AE88" s="5"/>
      <c r="AF88" s="6">
        <v>1</v>
      </c>
      <c r="AG88" s="5"/>
      <c r="AH88" s="5"/>
      <c r="AI88" s="5"/>
      <c r="AJ88" s="5"/>
      <c r="AK88" s="5"/>
      <c r="AL88" s="6">
        <v>41</v>
      </c>
    </row>
    <row r="89" spans="1:38" ht="11.1" customHeight="1" x14ac:dyDescent="0.2">
      <c r="A89" s="4" t="s">
        <v>209</v>
      </c>
      <c r="B89" s="4" t="s">
        <v>210</v>
      </c>
      <c r="C89" s="4" t="s">
        <v>1267</v>
      </c>
      <c r="D89" s="4">
        <v>5</v>
      </c>
      <c r="E89" s="5"/>
      <c r="F89" s="5"/>
      <c r="G89" s="5"/>
      <c r="H89" s="5"/>
      <c r="I89" s="5"/>
      <c r="J89" s="5"/>
      <c r="K89" s="5"/>
      <c r="L89" s="6">
        <v>5</v>
      </c>
      <c r="M89" s="6">
        <v>15</v>
      </c>
      <c r="N89" s="5"/>
      <c r="O89" s="6">
        <v>10</v>
      </c>
      <c r="P89" s="6">
        <v>3</v>
      </c>
      <c r="Q89" s="5"/>
      <c r="R89" s="6">
        <v>9</v>
      </c>
      <c r="S89" s="6">
        <v>4</v>
      </c>
      <c r="T89" s="6">
        <v>3</v>
      </c>
      <c r="U89" s="5"/>
      <c r="V89" s="6">
        <v>2</v>
      </c>
      <c r="W89" s="6">
        <v>-12</v>
      </c>
      <c r="X89" s="5"/>
      <c r="Y89" s="5"/>
      <c r="Z89" s="6">
        <v>4</v>
      </c>
      <c r="AA89" s="6">
        <v>6</v>
      </c>
      <c r="AB89" s="6">
        <v>8</v>
      </c>
      <c r="AC89" s="5"/>
      <c r="AD89" s="5"/>
      <c r="AE89" s="6">
        <v>-7</v>
      </c>
      <c r="AF89" s="5"/>
      <c r="AG89" s="6">
        <v>3</v>
      </c>
      <c r="AH89" s="6">
        <v>1</v>
      </c>
      <c r="AI89" s="5"/>
      <c r="AJ89" s="6">
        <v>1</v>
      </c>
      <c r="AK89" s="6">
        <v>2</v>
      </c>
      <c r="AL89" s="6">
        <v>57</v>
      </c>
    </row>
    <row r="90" spans="1:38" ht="11.1" customHeight="1" x14ac:dyDescent="0.2">
      <c r="A90" s="4" t="s">
        <v>211</v>
      </c>
      <c r="B90" s="4" t="s">
        <v>212</v>
      </c>
      <c r="C90" s="4" t="s">
        <v>1268</v>
      </c>
      <c r="D90" s="4">
        <v>20</v>
      </c>
      <c r="E90" s="5"/>
      <c r="F90" s="5"/>
      <c r="G90" s="5"/>
      <c r="H90" s="5"/>
      <c r="I90" s="5"/>
      <c r="J90" s="5"/>
      <c r="K90" s="5"/>
      <c r="L90" s="6">
        <v>44</v>
      </c>
      <c r="M90" s="6">
        <v>236</v>
      </c>
      <c r="N90" s="6">
        <v>114</v>
      </c>
      <c r="O90" s="6">
        <v>191</v>
      </c>
      <c r="P90" s="6">
        <v>159</v>
      </c>
      <c r="Q90" s="6">
        <v>95</v>
      </c>
      <c r="R90" s="6">
        <v>361</v>
      </c>
      <c r="S90" s="6">
        <v>238</v>
      </c>
      <c r="T90" s="6">
        <v>164</v>
      </c>
      <c r="U90" s="6">
        <v>136</v>
      </c>
      <c r="V90" s="6">
        <v>86</v>
      </c>
      <c r="W90" s="6">
        <v>41</v>
      </c>
      <c r="X90" s="6">
        <v>48</v>
      </c>
      <c r="Y90" s="6">
        <v>75</v>
      </c>
      <c r="Z90" s="6">
        <v>50</v>
      </c>
      <c r="AA90" s="6">
        <v>73</v>
      </c>
      <c r="AB90" s="6">
        <v>251</v>
      </c>
      <c r="AC90" s="6">
        <v>73</v>
      </c>
      <c r="AD90" s="6">
        <v>64</v>
      </c>
      <c r="AE90" s="6">
        <v>18</v>
      </c>
      <c r="AF90" s="6">
        <v>18</v>
      </c>
      <c r="AG90" s="6">
        <v>103</v>
      </c>
      <c r="AH90" s="6">
        <v>23</v>
      </c>
      <c r="AI90" s="6">
        <v>86</v>
      </c>
      <c r="AJ90" s="6">
        <v>84</v>
      </c>
      <c r="AK90" s="6">
        <v>147</v>
      </c>
      <c r="AL90" s="7">
        <v>2978</v>
      </c>
    </row>
    <row r="91" spans="1:38" ht="11.1" customHeight="1" x14ac:dyDescent="0.2">
      <c r="A91" s="4" t="s">
        <v>213</v>
      </c>
      <c r="B91" s="4" t="s">
        <v>214</v>
      </c>
      <c r="C91" s="4" t="s">
        <v>1269</v>
      </c>
      <c r="D91" s="4">
        <v>10</v>
      </c>
      <c r="E91" s="5"/>
      <c r="F91" s="5"/>
      <c r="G91" s="5"/>
      <c r="H91" s="5"/>
      <c r="I91" s="5"/>
      <c r="J91" s="5"/>
      <c r="K91" s="5"/>
      <c r="L91" s="6">
        <v>10</v>
      </c>
      <c r="M91" s="6">
        <v>167</v>
      </c>
      <c r="N91" s="6">
        <v>37</v>
      </c>
      <c r="O91" s="6">
        <v>115</v>
      </c>
      <c r="P91" s="6">
        <v>85</v>
      </c>
      <c r="Q91" s="6">
        <v>26</v>
      </c>
      <c r="R91" s="6">
        <v>126</v>
      </c>
      <c r="S91" s="6">
        <v>90</v>
      </c>
      <c r="T91" s="6">
        <v>189</v>
      </c>
      <c r="U91" s="6">
        <v>46</v>
      </c>
      <c r="V91" s="6">
        <v>19</v>
      </c>
      <c r="W91" s="6">
        <v>9</v>
      </c>
      <c r="X91" s="6">
        <v>71</v>
      </c>
      <c r="Y91" s="6">
        <v>28</v>
      </c>
      <c r="Z91" s="6">
        <v>57</v>
      </c>
      <c r="AA91" s="6">
        <v>48</v>
      </c>
      <c r="AB91" s="6">
        <v>52</v>
      </c>
      <c r="AC91" s="6">
        <v>43</v>
      </c>
      <c r="AD91" s="6">
        <v>37</v>
      </c>
      <c r="AE91" s="6">
        <v>13</v>
      </c>
      <c r="AF91" s="6">
        <v>18</v>
      </c>
      <c r="AG91" s="6">
        <v>74</v>
      </c>
      <c r="AH91" s="6">
        <v>8</v>
      </c>
      <c r="AI91" s="6">
        <v>87</v>
      </c>
      <c r="AJ91" s="6">
        <v>75</v>
      </c>
      <c r="AK91" s="6">
        <v>58</v>
      </c>
      <c r="AL91" s="7">
        <v>1588</v>
      </c>
    </row>
    <row r="92" spans="1:38" ht="11.1" customHeight="1" x14ac:dyDescent="0.2">
      <c r="A92" s="4" t="s">
        <v>215</v>
      </c>
      <c r="B92" s="4" t="s">
        <v>216</v>
      </c>
      <c r="C92" s="4" t="s">
        <v>1270</v>
      </c>
      <c r="D92" s="4">
        <v>5</v>
      </c>
      <c r="E92" s="5"/>
      <c r="F92" s="5"/>
      <c r="G92" s="5"/>
      <c r="H92" s="5"/>
      <c r="I92" s="5"/>
      <c r="J92" s="5"/>
      <c r="K92" s="5"/>
      <c r="L92" s="6">
        <v>10</v>
      </c>
      <c r="M92" s="6">
        <v>89</v>
      </c>
      <c r="N92" s="6">
        <v>12</v>
      </c>
      <c r="O92" s="6">
        <v>49</v>
      </c>
      <c r="P92" s="6">
        <v>44</v>
      </c>
      <c r="Q92" s="6">
        <v>9</v>
      </c>
      <c r="R92" s="6">
        <v>77</v>
      </c>
      <c r="S92" s="6">
        <v>20</v>
      </c>
      <c r="T92" s="6">
        <v>54</v>
      </c>
      <c r="U92" s="6">
        <v>27</v>
      </c>
      <c r="V92" s="6">
        <v>15</v>
      </c>
      <c r="W92" s="6">
        <v>-3</v>
      </c>
      <c r="X92" s="6">
        <v>24</v>
      </c>
      <c r="Y92" s="6">
        <v>15</v>
      </c>
      <c r="Z92" s="6">
        <v>12</v>
      </c>
      <c r="AA92" s="6">
        <v>15</v>
      </c>
      <c r="AB92" s="6">
        <v>30</v>
      </c>
      <c r="AC92" s="6">
        <v>29</v>
      </c>
      <c r="AD92" s="6">
        <v>18</v>
      </c>
      <c r="AE92" s="6">
        <v>2</v>
      </c>
      <c r="AF92" s="6">
        <v>1</v>
      </c>
      <c r="AG92" s="6">
        <v>32</v>
      </c>
      <c r="AH92" s="6">
        <v>4</v>
      </c>
      <c r="AI92" s="6">
        <v>15</v>
      </c>
      <c r="AJ92" s="6">
        <v>26</v>
      </c>
      <c r="AK92" s="6">
        <v>15</v>
      </c>
      <c r="AL92" s="6">
        <v>641</v>
      </c>
    </row>
    <row r="93" spans="1:38" ht="11.1" customHeight="1" x14ac:dyDescent="0.2">
      <c r="A93" s="4" t="s">
        <v>217</v>
      </c>
      <c r="B93" s="4" t="s">
        <v>218</v>
      </c>
      <c r="C93" s="4" t="s">
        <v>1271</v>
      </c>
      <c r="D93" s="4">
        <v>5</v>
      </c>
      <c r="E93" s="5"/>
      <c r="F93" s="5"/>
      <c r="G93" s="5"/>
      <c r="H93" s="5"/>
      <c r="I93" s="5"/>
      <c r="J93" s="5"/>
      <c r="K93" s="5"/>
      <c r="L93" s="6">
        <v>5</v>
      </c>
      <c r="M93" s="6">
        <v>45</v>
      </c>
      <c r="N93" s="6">
        <v>5</v>
      </c>
      <c r="O93" s="6">
        <v>17</v>
      </c>
      <c r="P93" s="6">
        <v>19</v>
      </c>
      <c r="Q93" s="6">
        <v>4</v>
      </c>
      <c r="R93" s="6">
        <v>27</v>
      </c>
      <c r="S93" s="6">
        <v>14</v>
      </c>
      <c r="T93" s="6">
        <v>23</v>
      </c>
      <c r="U93" s="6">
        <v>4</v>
      </c>
      <c r="V93" s="6">
        <v>6</v>
      </c>
      <c r="W93" s="6">
        <v>-33</v>
      </c>
      <c r="X93" s="6">
        <v>9</v>
      </c>
      <c r="Y93" s="6">
        <v>2</v>
      </c>
      <c r="Z93" s="6">
        <v>14</v>
      </c>
      <c r="AA93" s="6">
        <v>7</v>
      </c>
      <c r="AB93" s="6">
        <v>20</v>
      </c>
      <c r="AC93" s="6">
        <v>6</v>
      </c>
      <c r="AD93" s="6">
        <v>11</v>
      </c>
      <c r="AE93" s="6">
        <v>7</v>
      </c>
      <c r="AF93" s="6">
        <v>1</v>
      </c>
      <c r="AG93" s="6">
        <v>13</v>
      </c>
      <c r="AH93" s="5"/>
      <c r="AI93" s="6">
        <v>12</v>
      </c>
      <c r="AJ93" s="6">
        <v>14</v>
      </c>
      <c r="AK93" s="6">
        <v>7</v>
      </c>
      <c r="AL93" s="6">
        <v>259</v>
      </c>
    </row>
    <row r="94" spans="1:38" ht="11.1" customHeight="1" x14ac:dyDescent="0.2">
      <c r="A94" s="4" t="s">
        <v>219</v>
      </c>
      <c r="B94" s="4" t="s">
        <v>220</v>
      </c>
      <c r="C94" s="4" t="s">
        <v>1272</v>
      </c>
      <c r="D94" s="4">
        <v>5</v>
      </c>
      <c r="E94" s="5"/>
      <c r="F94" s="5"/>
      <c r="G94" s="5"/>
      <c r="H94" s="5"/>
      <c r="I94" s="5"/>
      <c r="J94" s="5"/>
      <c r="K94" s="5"/>
      <c r="L94" s="6">
        <v>2</v>
      </c>
      <c r="M94" s="6">
        <v>27</v>
      </c>
      <c r="N94" s="5"/>
      <c r="O94" s="6">
        <v>10</v>
      </c>
      <c r="P94" s="6">
        <v>7</v>
      </c>
      <c r="Q94" s="6">
        <v>6</v>
      </c>
      <c r="R94" s="6">
        <v>4</v>
      </c>
      <c r="S94" s="6">
        <v>-7</v>
      </c>
      <c r="T94" s="6">
        <v>7</v>
      </c>
      <c r="U94" s="5"/>
      <c r="V94" s="5"/>
      <c r="W94" s="6">
        <v>-3</v>
      </c>
      <c r="X94" s="6">
        <v>-8</v>
      </c>
      <c r="Y94" s="6">
        <v>2</v>
      </c>
      <c r="Z94" s="5"/>
      <c r="AA94" s="6">
        <v>2</v>
      </c>
      <c r="AB94" s="6">
        <v>2</v>
      </c>
      <c r="AC94" s="6">
        <v>1</v>
      </c>
      <c r="AD94" s="6">
        <v>1</v>
      </c>
      <c r="AE94" s="6">
        <v>-9</v>
      </c>
      <c r="AF94" s="5"/>
      <c r="AG94" s="6">
        <v>2</v>
      </c>
      <c r="AH94" s="5"/>
      <c r="AI94" s="6">
        <v>1</v>
      </c>
      <c r="AJ94" s="6">
        <v>2</v>
      </c>
      <c r="AK94" s="5"/>
      <c r="AL94" s="6">
        <v>49</v>
      </c>
    </row>
    <row r="95" spans="1:38" ht="11.1" customHeight="1" x14ac:dyDescent="0.2">
      <c r="A95" s="4" t="s">
        <v>221</v>
      </c>
      <c r="B95" s="4" t="s">
        <v>222</v>
      </c>
      <c r="C95" s="4" t="s">
        <v>1273</v>
      </c>
      <c r="D95" s="4">
        <v>10</v>
      </c>
      <c r="E95" s="5"/>
      <c r="F95" s="5"/>
      <c r="G95" s="5"/>
      <c r="H95" s="5"/>
      <c r="I95" s="5"/>
      <c r="J95" s="5"/>
      <c r="K95" s="5"/>
      <c r="L95" s="6">
        <v>10</v>
      </c>
      <c r="M95" s="6">
        <v>39</v>
      </c>
      <c r="N95" s="6">
        <v>10</v>
      </c>
      <c r="O95" s="6">
        <v>10</v>
      </c>
      <c r="P95" s="6">
        <v>37</v>
      </c>
      <c r="Q95" s="5"/>
      <c r="R95" s="6">
        <v>34</v>
      </c>
      <c r="S95" s="6">
        <v>8</v>
      </c>
      <c r="T95" s="6">
        <v>53</v>
      </c>
      <c r="U95" s="6">
        <v>6</v>
      </c>
      <c r="V95" s="6">
        <v>50</v>
      </c>
      <c r="W95" s="6">
        <v>10</v>
      </c>
      <c r="X95" s="6">
        <v>5</v>
      </c>
      <c r="Y95" s="6">
        <v>-3</v>
      </c>
      <c r="Z95" s="6">
        <v>7</v>
      </c>
      <c r="AA95" s="6">
        <v>5</v>
      </c>
      <c r="AB95" s="6">
        <v>14</v>
      </c>
      <c r="AC95" s="6">
        <v>6</v>
      </c>
      <c r="AD95" s="6">
        <v>4</v>
      </c>
      <c r="AE95" s="6">
        <v>-6</v>
      </c>
      <c r="AF95" s="6">
        <v>11</v>
      </c>
      <c r="AG95" s="6">
        <v>27</v>
      </c>
      <c r="AH95" s="5"/>
      <c r="AI95" s="6">
        <v>14</v>
      </c>
      <c r="AJ95" s="6">
        <v>11</v>
      </c>
      <c r="AK95" s="6">
        <v>1</v>
      </c>
      <c r="AL95" s="6">
        <v>363</v>
      </c>
    </row>
    <row r="96" spans="1:38" ht="11.1" customHeight="1" x14ac:dyDescent="0.2">
      <c r="A96" s="4" t="s">
        <v>223</v>
      </c>
      <c r="B96" s="4" t="s">
        <v>224</v>
      </c>
      <c r="C96" s="4" t="s">
        <v>1274</v>
      </c>
      <c r="D96" s="4">
        <v>5</v>
      </c>
      <c r="E96" s="5"/>
      <c r="F96" s="5"/>
      <c r="G96" s="5"/>
      <c r="H96" s="5"/>
      <c r="I96" s="5"/>
      <c r="J96" s="5"/>
      <c r="K96" s="5"/>
      <c r="L96" s="5"/>
      <c r="M96" s="6">
        <v>10</v>
      </c>
      <c r="N96" s="5"/>
      <c r="O96" s="5"/>
      <c r="P96" s="5"/>
      <c r="Q96" s="6">
        <v>5</v>
      </c>
      <c r="R96" s="5"/>
      <c r="S96" s="6">
        <v>5</v>
      </c>
      <c r="T96" s="5"/>
      <c r="U96" s="6">
        <v>5</v>
      </c>
      <c r="V96" s="6">
        <v>1</v>
      </c>
      <c r="W96" s="5"/>
      <c r="X96" s="6">
        <v>-9</v>
      </c>
      <c r="Y96" s="5"/>
      <c r="Z96" s="5"/>
      <c r="AA96" s="5"/>
      <c r="AB96" s="5"/>
      <c r="AC96" s="5"/>
      <c r="AD96" s="5"/>
      <c r="AE96" s="6">
        <v>-6</v>
      </c>
      <c r="AF96" s="5"/>
      <c r="AG96" s="5"/>
      <c r="AH96" s="5"/>
      <c r="AI96" s="5"/>
      <c r="AJ96" s="5"/>
      <c r="AK96" s="5"/>
      <c r="AL96" s="6">
        <v>11</v>
      </c>
    </row>
    <row r="97" spans="1:38" ht="11.1" customHeight="1" x14ac:dyDescent="0.2">
      <c r="A97" s="4" t="s">
        <v>225</v>
      </c>
      <c r="B97" s="4" t="s">
        <v>226</v>
      </c>
      <c r="C97" s="4" t="s">
        <v>1275</v>
      </c>
      <c r="D97" s="4">
        <v>5</v>
      </c>
      <c r="E97" s="5"/>
      <c r="F97" s="5"/>
      <c r="G97" s="5"/>
      <c r="H97" s="5"/>
      <c r="I97" s="5"/>
      <c r="J97" s="5"/>
      <c r="K97" s="5"/>
      <c r="L97" s="5"/>
      <c r="M97" s="6">
        <v>11</v>
      </c>
      <c r="N97" s="6">
        <v>1</v>
      </c>
      <c r="O97" s="6">
        <v>10</v>
      </c>
      <c r="P97" s="6">
        <v>4</v>
      </c>
      <c r="Q97" s="5"/>
      <c r="R97" s="6">
        <v>7</v>
      </c>
      <c r="S97" s="6">
        <v>5</v>
      </c>
      <c r="T97" s="6">
        <v>31</v>
      </c>
      <c r="U97" s="6">
        <v>3</v>
      </c>
      <c r="V97" s="5"/>
      <c r="W97" s="5"/>
      <c r="X97" s="6">
        <v>-4</v>
      </c>
      <c r="Y97" s="6">
        <v>-3</v>
      </c>
      <c r="Z97" s="5"/>
      <c r="AA97" s="6">
        <v>8</v>
      </c>
      <c r="AB97" s="5"/>
      <c r="AC97" s="5"/>
      <c r="AD97" s="5"/>
      <c r="AE97" s="6">
        <v>-5</v>
      </c>
      <c r="AF97" s="5"/>
      <c r="AG97" s="6">
        <v>2</v>
      </c>
      <c r="AH97" s="6">
        <v>1</v>
      </c>
      <c r="AI97" s="5"/>
      <c r="AJ97" s="6">
        <v>2</v>
      </c>
      <c r="AK97" s="5"/>
      <c r="AL97" s="6">
        <v>73</v>
      </c>
    </row>
    <row r="98" spans="1:38" ht="11.1" customHeight="1" x14ac:dyDescent="0.2">
      <c r="A98" s="4" t="s">
        <v>227</v>
      </c>
      <c r="B98" s="4" t="s">
        <v>228</v>
      </c>
      <c r="C98" s="4" t="s">
        <v>1276</v>
      </c>
      <c r="D98" s="4">
        <v>5</v>
      </c>
      <c r="E98" s="5"/>
      <c r="F98" s="5"/>
      <c r="G98" s="5"/>
      <c r="H98" s="5"/>
      <c r="I98" s="5"/>
      <c r="J98" s="5"/>
      <c r="K98" s="5"/>
      <c r="L98" s="5"/>
      <c r="M98" s="6">
        <v>30</v>
      </c>
      <c r="N98" s="5"/>
      <c r="O98" s="6">
        <v>10</v>
      </c>
      <c r="P98" s="5"/>
      <c r="Q98" s="5"/>
      <c r="R98" s="5"/>
      <c r="S98" s="6">
        <v>-10</v>
      </c>
      <c r="T98" s="5"/>
      <c r="U98" s="5"/>
      <c r="V98" s="5"/>
      <c r="W98" s="6">
        <v>-10</v>
      </c>
      <c r="X98" s="6">
        <v>-10</v>
      </c>
      <c r="Y98" s="5"/>
      <c r="Z98" s="5"/>
      <c r="AA98" s="5"/>
      <c r="AB98" s="5"/>
      <c r="AC98" s="5"/>
      <c r="AD98" s="5"/>
      <c r="AE98" s="6">
        <v>-9</v>
      </c>
      <c r="AF98" s="5"/>
      <c r="AG98" s="5"/>
      <c r="AH98" s="5"/>
      <c r="AI98" s="5"/>
      <c r="AJ98" s="5"/>
      <c r="AK98" s="5"/>
      <c r="AL98" s="6">
        <v>1</v>
      </c>
    </row>
    <row r="99" spans="1:38" ht="23.1" customHeight="1" x14ac:dyDescent="0.2">
      <c r="A99" s="4" t="s">
        <v>229</v>
      </c>
      <c r="B99" s="4" t="s">
        <v>230</v>
      </c>
      <c r="C99" s="4" t="s">
        <v>1277</v>
      </c>
      <c r="D99" s="4">
        <v>1</v>
      </c>
      <c r="E99" s="5"/>
      <c r="F99" s="5"/>
      <c r="G99" s="5"/>
      <c r="H99" s="5"/>
      <c r="I99" s="5"/>
      <c r="J99" s="5"/>
      <c r="K99" s="5"/>
      <c r="L99" s="5"/>
      <c r="M99" s="6">
        <v>2</v>
      </c>
      <c r="N99" s="6">
        <v>2</v>
      </c>
      <c r="O99" s="5"/>
      <c r="P99" s="6">
        <v>2</v>
      </c>
      <c r="Q99" s="5"/>
      <c r="R99" s="5"/>
      <c r="S99" s="6">
        <v>3</v>
      </c>
      <c r="T99" s="5"/>
      <c r="U99" s="5"/>
      <c r="V99" s="5"/>
      <c r="W99" s="5"/>
      <c r="X99" s="6">
        <v>2</v>
      </c>
      <c r="Y99" s="5"/>
      <c r="Z99" s="5"/>
      <c r="AA99" s="5"/>
      <c r="AB99" s="6">
        <v>2</v>
      </c>
      <c r="AC99" s="5"/>
      <c r="AD99" s="5"/>
      <c r="AE99" s="5"/>
      <c r="AF99" s="5"/>
      <c r="AG99" s="5"/>
      <c r="AH99" s="5"/>
      <c r="AI99" s="5"/>
      <c r="AJ99" s="6">
        <v>1</v>
      </c>
      <c r="AK99" s="5"/>
      <c r="AL99" s="6">
        <v>14</v>
      </c>
    </row>
    <row r="100" spans="1:38" ht="23.1" customHeight="1" x14ac:dyDescent="0.2">
      <c r="A100" s="4" t="s">
        <v>231</v>
      </c>
      <c r="B100" s="4" t="s">
        <v>232</v>
      </c>
      <c r="C100" s="4" t="s">
        <v>1278</v>
      </c>
      <c r="D100" s="4">
        <v>1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6">
        <v>1</v>
      </c>
      <c r="AB100" s="5"/>
      <c r="AC100" s="5"/>
      <c r="AD100" s="5"/>
      <c r="AE100" s="5"/>
      <c r="AF100" s="5"/>
      <c r="AG100" s="6">
        <v>11</v>
      </c>
      <c r="AH100" s="5"/>
      <c r="AI100" s="5"/>
      <c r="AJ100" s="5"/>
      <c r="AK100" s="5"/>
      <c r="AL100" s="6">
        <v>12</v>
      </c>
    </row>
    <row r="101" spans="1:38" ht="23.1" customHeight="1" x14ac:dyDescent="0.2">
      <c r="A101" s="4" t="s">
        <v>233</v>
      </c>
      <c r="B101" s="4" t="s">
        <v>234</v>
      </c>
      <c r="C101" s="4" t="s">
        <v>1279</v>
      </c>
      <c r="D101" s="4">
        <v>10</v>
      </c>
      <c r="E101" s="5"/>
      <c r="F101" s="5"/>
      <c r="G101" s="5"/>
      <c r="H101" s="5"/>
      <c r="I101" s="5"/>
      <c r="J101" s="5"/>
      <c r="K101" s="5"/>
      <c r="L101" s="6">
        <v>5</v>
      </c>
      <c r="M101" s="6">
        <v>23</v>
      </c>
      <c r="N101" s="6">
        <v>20</v>
      </c>
      <c r="O101" s="6">
        <v>29</v>
      </c>
      <c r="P101" s="6">
        <v>11</v>
      </c>
      <c r="Q101" s="6">
        <v>6</v>
      </c>
      <c r="R101" s="6">
        <v>20</v>
      </c>
      <c r="S101" s="6">
        <v>7</v>
      </c>
      <c r="T101" s="6">
        <v>4</v>
      </c>
      <c r="U101" s="6">
        <v>6</v>
      </c>
      <c r="V101" s="6">
        <v>2</v>
      </c>
      <c r="W101" s="6">
        <v>-11</v>
      </c>
      <c r="X101" s="6">
        <v>-3</v>
      </c>
      <c r="Y101" s="5"/>
      <c r="Z101" s="5"/>
      <c r="AA101" s="5"/>
      <c r="AB101" s="6">
        <v>14</v>
      </c>
      <c r="AC101" s="5"/>
      <c r="AD101" s="6">
        <v>7</v>
      </c>
      <c r="AE101" s="6">
        <v>4</v>
      </c>
      <c r="AF101" s="5"/>
      <c r="AG101" s="6">
        <v>8</v>
      </c>
      <c r="AH101" s="6">
        <v>1</v>
      </c>
      <c r="AI101" s="5"/>
      <c r="AJ101" s="6">
        <v>22</v>
      </c>
      <c r="AK101" s="5"/>
      <c r="AL101" s="6">
        <v>175</v>
      </c>
    </row>
    <row r="102" spans="1:38" ht="11.1" customHeight="1" x14ac:dyDescent="0.2">
      <c r="A102" s="4" t="s">
        <v>235</v>
      </c>
      <c r="B102" s="4" t="s">
        <v>236</v>
      </c>
      <c r="C102" s="4" t="s">
        <v>1280</v>
      </c>
      <c r="D102" s="4">
        <v>5</v>
      </c>
      <c r="E102" s="5"/>
      <c r="F102" s="5"/>
      <c r="G102" s="5"/>
      <c r="H102" s="5"/>
      <c r="I102" s="5"/>
      <c r="J102" s="5"/>
      <c r="K102" s="5"/>
      <c r="L102" s="6">
        <v>14</v>
      </c>
      <c r="M102" s="6">
        <v>193</v>
      </c>
      <c r="N102" s="6">
        <v>30</v>
      </c>
      <c r="O102" s="6">
        <v>82</v>
      </c>
      <c r="P102" s="6">
        <v>28</v>
      </c>
      <c r="Q102" s="6">
        <v>20</v>
      </c>
      <c r="R102" s="6">
        <v>39</v>
      </c>
      <c r="S102" s="5"/>
      <c r="T102" s="6">
        <v>14</v>
      </c>
      <c r="U102" s="6">
        <v>9</v>
      </c>
      <c r="V102" s="6">
        <v>40</v>
      </c>
      <c r="W102" s="6">
        <v>-2</v>
      </c>
      <c r="X102" s="6">
        <v>-8</v>
      </c>
      <c r="Y102" s="6">
        <v>-6</v>
      </c>
      <c r="Z102" s="6">
        <v>11</v>
      </c>
      <c r="AA102" s="6">
        <v>5</v>
      </c>
      <c r="AB102" s="6">
        <v>9</v>
      </c>
      <c r="AC102" s="6">
        <v>17</v>
      </c>
      <c r="AD102" s="6">
        <v>3</v>
      </c>
      <c r="AE102" s="6">
        <v>26</v>
      </c>
      <c r="AF102" s="5"/>
      <c r="AG102" s="6">
        <v>28</v>
      </c>
      <c r="AH102" s="6">
        <v>18</v>
      </c>
      <c r="AI102" s="6">
        <v>11</v>
      </c>
      <c r="AJ102" s="6">
        <v>24</v>
      </c>
      <c r="AK102" s="6">
        <v>15</v>
      </c>
      <c r="AL102" s="6">
        <v>620</v>
      </c>
    </row>
    <row r="103" spans="1:38" ht="11.1" customHeight="1" x14ac:dyDescent="0.2">
      <c r="A103" s="4" t="s">
        <v>237</v>
      </c>
      <c r="B103" s="4" t="s">
        <v>238</v>
      </c>
      <c r="C103" s="4" t="s">
        <v>1281</v>
      </c>
      <c r="D103" s="4">
        <v>5</v>
      </c>
      <c r="E103" s="5"/>
      <c r="F103" s="5"/>
      <c r="G103" s="5"/>
      <c r="H103" s="5"/>
      <c r="I103" s="5"/>
      <c r="J103" s="5"/>
      <c r="K103" s="5"/>
      <c r="L103" s="5"/>
      <c r="M103" s="6">
        <v>30</v>
      </c>
      <c r="N103" s="6">
        <v>30</v>
      </c>
      <c r="O103" s="6">
        <v>20</v>
      </c>
      <c r="P103" s="6">
        <v>7</v>
      </c>
      <c r="Q103" s="6">
        <v>6</v>
      </c>
      <c r="R103" s="5"/>
      <c r="S103" s="6">
        <v>1</v>
      </c>
      <c r="T103" s="6">
        <v>10</v>
      </c>
      <c r="U103" s="6">
        <v>28</v>
      </c>
      <c r="V103" s="5"/>
      <c r="W103" s="6">
        <v>-7</v>
      </c>
      <c r="X103" s="6">
        <v>4</v>
      </c>
      <c r="Y103" s="6">
        <v>-4</v>
      </c>
      <c r="Z103" s="5"/>
      <c r="AA103" s="5"/>
      <c r="AB103" s="6">
        <v>4</v>
      </c>
      <c r="AC103" s="6">
        <v>3</v>
      </c>
      <c r="AD103" s="5"/>
      <c r="AE103" s="6">
        <v>-15</v>
      </c>
      <c r="AF103" s="5"/>
      <c r="AG103" s="6">
        <v>2</v>
      </c>
      <c r="AH103" s="5"/>
      <c r="AI103" s="5"/>
      <c r="AJ103" s="5"/>
      <c r="AK103" s="5"/>
      <c r="AL103" s="6">
        <v>119</v>
      </c>
    </row>
    <row r="104" spans="1:38" ht="11.1" customHeight="1" x14ac:dyDescent="0.2">
      <c r="A104" s="4" t="s">
        <v>239</v>
      </c>
      <c r="B104" s="4" t="s">
        <v>240</v>
      </c>
      <c r="C104" s="4" t="s">
        <v>1282</v>
      </c>
      <c r="D104" s="4">
        <v>5</v>
      </c>
      <c r="E104" s="5"/>
      <c r="F104" s="5"/>
      <c r="G104" s="5"/>
      <c r="H104" s="5"/>
      <c r="I104" s="5"/>
      <c r="J104" s="5"/>
      <c r="K104" s="5"/>
      <c r="L104" s="5"/>
      <c r="M104" s="6">
        <v>13</v>
      </c>
      <c r="N104" s="6">
        <v>74</v>
      </c>
      <c r="O104" s="6">
        <v>77</v>
      </c>
      <c r="P104" s="6">
        <v>31</v>
      </c>
      <c r="Q104" s="6">
        <v>20</v>
      </c>
      <c r="R104" s="6">
        <v>52</v>
      </c>
      <c r="S104" s="6">
        <v>-1</v>
      </c>
      <c r="T104" s="6">
        <v>71</v>
      </c>
      <c r="U104" s="6">
        <v>30</v>
      </c>
      <c r="V104" s="6">
        <v>35</v>
      </c>
      <c r="W104" s="6">
        <v>-5</v>
      </c>
      <c r="X104" s="6">
        <v>7</v>
      </c>
      <c r="Y104" s="6">
        <v>2</v>
      </c>
      <c r="Z104" s="6">
        <v>5</v>
      </c>
      <c r="AA104" s="5"/>
      <c r="AB104" s="6">
        <v>4</v>
      </c>
      <c r="AC104" s="6">
        <v>7</v>
      </c>
      <c r="AD104" s="6">
        <v>3</v>
      </c>
      <c r="AE104" s="6">
        <v>36</v>
      </c>
      <c r="AF104" s="6">
        <v>2</v>
      </c>
      <c r="AG104" s="6">
        <v>12</v>
      </c>
      <c r="AH104" s="6">
        <v>25</v>
      </c>
      <c r="AI104" s="6">
        <v>7</v>
      </c>
      <c r="AJ104" s="6">
        <v>15</v>
      </c>
      <c r="AK104" s="6">
        <v>7</v>
      </c>
      <c r="AL104" s="6">
        <v>529</v>
      </c>
    </row>
    <row r="105" spans="1:38" ht="11.1" customHeight="1" x14ac:dyDescent="0.2">
      <c r="A105" s="4" t="s">
        <v>241</v>
      </c>
      <c r="B105" s="4" t="s">
        <v>242</v>
      </c>
      <c r="C105" s="4" t="s">
        <v>1283</v>
      </c>
      <c r="D105" s="4">
        <v>5</v>
      </c>
      <c r="E105" s="5"/>
      <c r="F105" s="5"/>
      <c r="G105" s="5"/>
      <c r="H105" s="5"/>
      <c r="I105" s="5"/>
      <c r="J105" s="5"/>
      <c r="K105" s="5"/>
      <c r="L105" s="6">
        <v>5</v>
      </c>
      <c r="M105" s="6">
        <v>32</v>
      </c>
      <c r="N105" s="6">
        <v>20</v>
      </c>
      <c r="O105" s="6">
        <v>34</v>
      </c>
      <c r="P105" s="6">
        <v>1</v>
      </c>
      <c r="Q105" s="6">
        <v>5</v>
      </c>
      <c r="R105" s="5"/>
      <c r="S105" s="5"/>
      <c r="T105" s="6">
        <v>20</v>
      </c>
      <c r="U105" s="6">
        <v>11</v>
      </c>
      <c r="V105" s="5"/>
      <c r="W105" s="6">
        <v>-10</v>
      </c>
      <c r="X105" s="6">
        <v>-4</v>
      </c>
      <c r="Y105" s="6">
        <v>-5</v>
      </c>
      <c r="Z105" s="5"/>
      <c r="AA105" s="5"/>
      <c r="AB105" s="5"/>
      <c r="AC105" s="5"/>
      <c r="AD105" s="5"/>
      <c r="AE105" s="6">
        <v>-9</v>
      </c>
      <c r="AF105" s="5"/>
      <c r="AG105" s="6">
        <v>2</v>
      </c>
      <c r="AH105" s="5"/>
      <c r="AI105" s="5"/>
      <c r="AJ105" s="6">
        <v>3</v>
      </c>
      <c r="AK105" s="6">
        <v>1</v>
      </c>
      <c r="AL105" s="6">
        <v>106</v>
      </c>
    </row>
    <row r="106" spans="1:38" ht="23.1" customHeight="1" x14ac:dyDescent="0.2">
      <c r="A106" s="4" t="s">
        <v>243</v>
      </c>
      <c r="B106" s="4" t="s">
        <v>244</v>
      </c>
      <c r="C106" s="4" t="s">
        <v>1284</v>
      </c>
      <c r="D106" s="4">
        <v>1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>
        <v>2</v>
      </c>
      <c r="R106" s="5"/>
      <c r="S106" s="5"/>
      <c r="T106" s="5"/>
      <c r="U106" s="5"/>
      <c r="V106" s="6">
        <v>1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6">
        <v>1</v>
      </c>
      <c r="AL106" s="6">
        <v>4</v>
      </c>
    </row>
    <row r="107" spans="1:38" ht="11.1" customHeight="1" x14ac:dyDescent="0.2">
      <c r="A107" s="4" t="s">
        <v>245</v>
      </c>
      <c r="B107" s="4" t="s">
        <v>246</v>
      </c>
      <c r="C107" s="4" t="s">
        <v>1285</v>
      </c>
      <c r="D107" s="4">
        <v>5</v>
      </c>
      <c r="E107" s="5"/>
      <c r="F107" s="5"/>
      <c r="G107" s="5"/>
      <c r="H107" s="5"/>
      <c r="I107" s="5"/>
      <c r="J107" s="5"/>
      <c r="K107" s="5"/>
      <c r="L107" s="5"/>
      <c r="M107" s="5"/>
      <c r="N107" s="6">
        <v>11</v>
      </c>
      <c r="O107" s="6">
        <v>9</v>
      </c>
      <c r="P107" s="6">
        <v>17</v>
      </c>
      <c r="Q107" s="6">
        <v>8</v>
      </c>
      <c r="R107" s="6">
        <v>21</v>
      </c>
      <c r="S107" s="6">
        <v>-7</v>
      </c>
      <c r="T107" s="6">
        <v>10</v>
      </c>
      <c r="U107" s="6">
        <v>9</v>
      </c>
      <c r="V107" s="6">
        <v>10</v>
      </c>
      <c r="W107" s="6">
        <v>3</v>
      </c>
      <c r="X107" s="6">
        <v>7</v>
      </c>
      <c r="Y107" s="5"/>
      <c r="Z107" s="6">
        <v>1</v>
      </c>
      <c r="AA107" s="6">
        <v>4</v>
      </c>
      <c r="AB107" s="6">
        <v>1</v>
      </c>
      <c r="AC107" s="6">
        <v>5</v>
      </c>
      <c r="AD107" s="6">
        <v>1</v>
      </c>
      <c r="AE107" s="6">
        <v>29</v>
      </c>
      <c r="AF107" s="5"/>
      <c r="AG107" s="6">
        <v>2</v>
      </c>
      <c r="AH107" s="6">
        <v>3</v>
      </c>
      <c r="AI107" s="6">
        <v>1</v>
      </c>
      <c r="AJ107" s="6">
        <v>18</v>
      </c>
      <c r="AK107" s="5"/>
      <c r="AL107" s="6">
        <v>163</v>
      </c>
    </row>
    <row r="108" spans="1:38" ht="11.1" customHeight="1" x14ac:dyDescent="0.2">
      <c r="A108" s="4" t="s">
        <v>247</v>
      </c>
      <c r="B108" s="4" t="s">
        <v>248</v>
      </c>
      <c r="C108" s="4" t="s">
        <v>1286</v>
      </c>
      <c r="D108" s="4">
        <v>5</v>
      </c>
      <c r="E108" s="5"/>
      <c r="F108" s="5"/>
      <c r="G108" s="5"/>
      <c r="H108" s="5"/>
      <c r="I108" s="5"/>
      <c r="J108" s="5"/>
      <c r="K108" s="5"/>
      <c r="L108" s="5"/>
      <c r="M108" s="6">
        <v>1</v>
      </c>
      <c r="N108" s="6">
        <v>20</v>
      </c>
      <c r="O108" s="6">
        <v>32</v>
      </c>
      <c r="P108" s="6">
        <v>11</v>
      </c>
      <c r="Q108" s="6">
        <v>10</v>
      </c>
      <c r="R108" s="6">
        <v>20</v>
      </c>
      <c r="S108" s="6">
        <v>-4</v>
      </c>
      <c r="T108" s="6">
        <v>27</v>
      </c>
      <c r="U108" s="6">
        <v>4</v>
      </c>
      <c r="V108" s="6">
        <v>34</v>
      </c>
      <c r="W108" s="6">
        <v>-1</v>
      </c>
      <c r="X108" s="6">
        <v>2</v>
      </c>
      <c r="Y108" s="6">
        <v>1</v>
      </c>
      <c r="Z108" s="5"/>
      <c r="AA108" s="6">
        <v>6</v>
      </c>
      <c r="AB108" s="6">
        <v>4</v>
      </c>
      <c r="AC108" s="5"/>
      <c r="AD108" s="6">
        <v>8</v>
      </c>
      <c r="AE108" s="6">
        <v>-7</v>
      </c>
      <c r="AF108" s="5"/>
      <c r="AG108" s="6">
        <v>7</v>
      </c>
      <c r="AH108" s="6">
        <v>4</v>
      </c>
      <c r="AI108" s="6">
        <v>8</v>
      </c>
      <c r="AJ108" s="6">
        <v>8</v>
      </c>
      <c r="AK108" s="6">
        <v>4</v>
      </c>
      <c r="AL108" s="6">
        <v>199</v>
      </c>
    </row>
    <row r="109" spans="1:38" ht="11.1" customHeight="1" x14ac:dyDescent="0.2">
      <c r="A109" s="4" t="s">
        <v>249</v>
      </c>
      <c r="B109" s="4" t="s">
        <v>250</v>
      </c>
      <c r="C109" s="4" t="s">
        <v>1287</v>
      </c>
      <c r="D109" s="4">
        <v>5</v>
      </c>
      <c r="E109" s="5"/>
      <c r="F109" s="5"/>
      <c r="G109" s="5"/>
      <c r="H109" s="5"/>
      <c r="I109" s="5"/>
      <c r="J109" s="5"/>
      <c r="K109" s="5"/>
      <c r="L109" s="6">
        <v>5</v>
      </c>
      <c r="M109" s="6">
        <v>40</v>
      </c>
      <c r="N109" s="6">
        <v>10</v>
      </c>
      <c r="O109" s="6">
        <v>12</v>
      </c>
      <c r="P109" s="5"/>
      <c r="Q109" s="5"/>
      <c r="R109" s="6">
        <v>3</v>
      </c>
      <c r="S109" s="6">
        <v>-7</v>
      </c>
      <c r="T109" s="6">
        <v>17</v>
      </c>
      <c r="U109" s="5"/>
      <c r="V109" s="6">
        <v>2</v>
      </c>
      <c r="W109" s="6">
        <v>-9</v>
      </c>
      <c r="X109" s="6">
        <v>-5</v>
      </c>
      <c r="Y109" s="6">
        <v>-5</v>
      </c>
      <c r="Z109" s="5"/>
      <c r="AA109" s="5"/>
      <c r="AB109" s="5"/>
      <c r="AC109" s="6">
        <v>1</v>
      </c>
      <c r="AD109" s="5"/>
      <c r="AE109" s="6">
        <v>-7</v>
      </c>
      <c r="AF109" s="5"/>
      <c r="AG109" s="6">
        <v>2</v>
      </c>
      <c r="AH109" s="6">
        <v>1</v>
      </c>
      <c r="AI109" s="5"/>
      <c r="AJ109" s="6">
        <v>20</v>
      </c>
      <c r="AK109" s="5"/>
      <c r="AL109" s="6">
        <v>80</v>
      </c>
    </row>
    <row r="110" spans="1:38" ht="11.1" customHeight="1" x14ac:dyDescent="0.2">
      <c r="A110" s="4" t="s">
        <v>251</v>
      </c>
      <c r="B110" s="4" t="s">
        <v>252</v>
      </c>
      <c r="C110" s="4" t="s">
        <v>1288</v>
      </c>
      <c r="D110" s="4">
        <v>1</v>
      </c>
      <c r="E110" s="5"/>
      <c r="F110" s="5"/>
      <c r="G110" s="5"/>
      <c r="H110" s="5"/>
      <c r="I110" s="5"/>
      <c r="J110" s="5"/>
      <c r="K110" s="5"/>
      <c r="L110" s="6">
        <v>3</v>
      </c>
      <c r="M110" s="6">
        <v>3</v>
      </c>
      <c r="N110" s="5"/>
      <c r="O110" s="6">
        <v>2</v>
      </c>
      <c r="P110" s="5"/>
      <c r="Q110" s="6">
        <v>6</v>
      </c>
      <c r="R110" s="6">
        <v>2</v>
      </c>
      <c r="S110" s="5"/>
      <c r="T110" s="5"/>
      <c r="U110" s="5"/>
      <c r="V110" s="5"/>
      <c r="W110" s="5"/>
      <c r="X110" s="6">
        <v>-2</v>
      </c>
      <c r="Y110" s="5"/>
      <c r="Z110" s="5"/>
      <c r="AA110" s="5"/>
      <c r="AB110" s="5"/>
      <c r="AC110" s="5"/>
      <c r="AD110" s="5"/>
      <c r="AE110" s="5"/>
      <c r="AF110" s="6">
        <v>8</v>
      </c>
      <c r="AG110" s="6">
        <v>3</v>
      </c>
      <c r="AH110" s="5"/>
      <c r="AI110" s="5"/>
      <c r="AJ110" s="5"/>
      <c r="AK110" s="5"/>
      <c r="AL110" s="6">
        <v>25</v>
      </c>
    </row>
    <row r="111" spans="1:38" ht="11.1" customHeight="1" x14ac:dyDescent="0.2">
      <c r="A111" s="4" t="s">
        <v>253</v>
      </c>
      <c r="B111" s="4" t="s">
        <v>254</v>
      </c>
      <c r="C111" s="4" t="s">
        <v>1289</v>
      </c>
      <c r="D111" s="4">
        <v>5</v>
      </c>
      <c r="E111" s="5"/>
      <c r="F111" s="5"/>
      <c r="G111" s="5"/>
      <c r="H111" s="5"/>
      <c r="I111" s="5"/>
      <c r="J111" s="5"/>
      <c r="K111" s="5"/>
      <c r="L111" s="6">
        <v>10</v>
      </c>
      <c r="M111" s="6">
        <v>389</v>
      </c>
      <c r="N111" s="6">
        <v>124</v>
      </c>
      <c r="O111" s="6">
        <v>558</v>
      </c>
      <c r="P111" s="6">
        <v>270</v>
      </c>
      <c r="Q111" s="6">
        <v>325</v>
      </c>
      <c r="R111" s="6">
        <v>236</v>
      </c>
      <c r="S111" s="6">
        <v>167</v>
      </c>
      <c r="T111" s="6">
        <v>674</v>
      </c>
      <c r="U111" s="6">
        <v>224</v>
      </c>
      <c r="V111" s="6">
        <v>229</v>
      </c>
      <c r="W111" s="6">
        <v>-23</v>
      </c>
      <c r="X111" s="6">
        <v>120</v>
      </c>
      <c r="Y111" s="6">
        <v>6</v>
      </c>
      <c r="Z111" s="5"/>
      <c r="AA111" s="6">
        <v>105</v>
      </c>
      <c r="AB111" s="6">
        <v>78</v>
      </c>
      <c r="AC111" s="6">
        <v>90</v>
      </c>
      <c r="AD111" s="6">
        <v>25</v>
      </c>
      <c r="AE111" s="6">
        <v>154</v>
      </c>
      <c r="AF111" s="6">
        <v>3</v>
      </c>
      <c r="AG111" s="6">
        <v>120</v>
      </c>
      <c r="AH111" s="6">
        <v>116</v>
      </c>
      <c r="AI111" s="6">
        <v>32</v>
      </c>
      <c r="AJ111" s="6">
        <v>177</v>
      </c>
      <c r="AK111" s="6">
        <v>81</v>
      </c>
      <c r="AL111" s="7">
        <v>4290</v>
      </c>
    </row>
    <row r="112" spans="1:38" ht="11.1" customHeight="1" x14ac:dyDescent="0.2">
      <c r="A112" s="4" t="s">
        <v>255</v>
      </c>
      <c r="B112" s="4" t="s">
        <v>256</v>
      </c>
      <c r="C112" s="4" t="s">
        <v>1290</v>
      </c>
      <c r="D112" s="4">
        <v>5</v>
      </c>
      <c r="E112" s="5"/>
      <c r="F112" s="5"/>
      <c r="G112" s="5"/>
      <c r="H112" s="5"/>
      <c r="I112" s="5"/>
      <c r="J112" s="5"/>
      <c r="K112" s="5"/>
      <c r="L112" s="6">
        <v>14</v>
      </c>
      <c r="M112" s="6">
        <v>137</v>
      </c>
      <c r="N112" s="6">
        <v>15</v>
      </c>
      <c r="O112" s="6">
        <v>5</v>
      </c>
      <c r="P112" s="6">
        <v>85</v>
      </c>
      <c r="Q112" s="6">
        <v>76</v>
      </c>
      <c r="R112" s="6">
        <v>10</v>
      </c>
      <c r="S112" s="6">
        <v>2</v>
      </c>
      <c r="T112" s="6">
        <v>41</v>
      </c>
      <c r="U112" s="5"/>
      <c r="V112" s="6">
        <v>12</v>
      </c>
      <c r="W112" s="6">
        <v>4</v>
      </c>
      <c r="X112" s="6">
        <v>-21</v>
      </c>
      <c r="Y112" s="6">
        <v>-10</v>
      </c>
      <c r="Z112" s="6">
        <v>48</v>
      </c>
      <c r="AA112" s="5"/>
      <c r="AB112" s="5"/>
      <c r="AC112" s="5"/>
      <c r="AD112" s="5"/>
      <c r="AE112" s="5"/>
      <c r="AF112" s="6">
        <v>15</v>
      </c>
      <c r="AG112" s="5"/>
      <c r="AH112" s="5"/>
      <c r="AI112" s="6">
        <v>21</v>
      </c>
      <c r="AJ112" s="6">
        <v>16</v>
      </c>
      <c r="AK112" s="5"/>
      <c r="AL112" s="6">
        <v>470</v>
      </c>
    </row>
    <row r="113" spans="1:38" ht="11.1" customHeight="1" x14ac:dyDescent="0.2">
      <c r="A113" s="4" t="s">
        <v>257</v>
      </c>
      <c r="B113" s="4" t="s">
        <v>258</v>
      </c>
      <c r="C113" s="4" t="s">
        <v>1291</v>
      </c>
      <c r="D113" s="4">
        <v>5</v>
      </c>
      <c r="E113" s="5"/>
      <c r="F113" s="5"/>
      <c r="G113" s="5"/>
      <c r="H113" s="5"/>
      <c r="I113" s="5"/>
      <c r="J113" s="5"/>
      <c r="K113" s="5"/>
      <c r="L113" s="5"/>
      <c r="M113" s="6">
        <v>20</v>
      </c>
      <c r="N113" s="6">
        <v>20</v>
      </c>
      <c r="O113" s="6">
        <v>9</v>
      </c>
      <c r="P113" s="6">
        <v>23</v>
      </c>
      <c r="Q113" s="6">
        <v>13</v>
      </c>
      <c r="R113" s="6">
        <v>12</v>
      </c>
      <c r="S113" s="6">
        <v>10</v>
      </c>
      <c r="T113" s="6">
        <v>16</v>
      </c>
      <c r="U113" s="6">
        <v>2</v>
      </c>
      <c r="V113" s="6">
        <v>10</v>
      </c>
      <c r="W113" s="5"/>
      <c r="X113" s="6">
        <v>-3</v>
      </c>
      <c r="Y113" s="6">
        <v>3</v>
      </c>
      <c r="Z113" s="5"/>
      <c r="AA113" s="6">
        <v>5</v>
      </c>
      <c r="AB113" s="5"/>
      <c r="AC113" s="5"/>
      <c r="AD113" s="5"/>
      <c r="AE113" s="6">
        <v>1</v>
      </c>
      <c r="AF113" s="6">
        <v>2</v>
      </c>
      <c r="AG113" s="6">
        <v>4</v>
      </c>
      <c r="AH113" s="6">
        <v>1</v>
      </c>
      <c r="AI113" s="6">
        <v>1</v>
      </c>
      <c r="AJ113" s="6">
        <v>8</v>
      </c>
      <c r="AK113" s="6">
        <v>3</v>
      </c>
      <c r="AL113" s="6">
        <v>160</v>
      </c>
    </row>
    <row r="114" spans="1:38" ht="11.1" customHeight="1" x14ac:dyDescent="0.2">
      <c r="A114" s="4" t="s">
        <v>259</v>
      </c>
      <c r="B114" s="4" t="s">
        <v>260</v>
      </c>
      <c r="C114" s="4" t="s">
        <v>1292</v>
      </c>
      <c r="D114" s="4">
        <v>5</v>
      </c>
      <c r="E114" s="5"/>
      <c r="F114" s="5"/>
      <c r="G114" s="5"/>
      <c r="H114" s="5"/>
      <c r="I114" s="5"/>
      <c r="J114" s="5"/>
      <c r="K114" s="5"/>
      <c r="L114" s="6">
        <v>5</v>
      </c>
      <c r="M114" s="6">
        <v>43</v>
      </c>
      <c r="N114" s="6">
        <v>1</v>
      </c>
      <c r="O114" s="6">
        <v>5</v>
      </c>
      <c r="P114" s="6">
        <v>3</v>
      </c>
      <c r="Q114" s="5"/>
      <c r="R114" s="6">
        <v>3</v>
      </c>
      <c r="S114" s="6">
        <v>-10</v>
      </c>
      <c r="T114" s="6">
        <v>1</v>
      </c>
      <c r="U114" s="5"/>
      <c r="V114" s="5"/>
      <c r="W114" s="6">
        <v>-23</v>
      </c>
      <c r="X114" s="6">
        <v>-2</v>
      </c>
      <c r="Y114" s="6">
        <v>-5</v>
      </c>
      <c r="Z114" s="6">
        <v>4</v>
      </c>
      <c r="AA114" s="5"/>
      <c r="AB114" s="5"/>
      <c r="AC114" s="5"/>
      <c r="AD114" s="5"/>
      <c r="AE114" s="6">
        <v>-3</v>
      </c>
      <c r="AF114" s="5"/>
      <c r="AG114" s="5"/>
      <c r="AH114" s="6">
        <v>3</v>
      </c>
      <c r="AI114" s="5"/>
      <c r="AJ114" s="5"/>
      <c r="AK114" s="5"/>
      <c r="AL114" s="6">
        <v>25</v>
      </c>
    </row>
    <row r="115" spans="1:38" ht="11.1" customHeight="1" x14ac:dyDescent="0.2">
      <c r="A115" s="4" t="s">
        <v>261</v>
      </c>
      <c r="B115" s="4" t="s">
        <v>262</v>
      </c>
      <c r="C115" s="4" t="s">
        <v>1293</v>
      </c>
      <c r="D115" s="4">
        <v>10</v>
      </c>
      <c r="E115" s="5"/>
      <c r="F115" s="5"/>
      <c r="G115" s="5"/>
      <c r="H115" s="5"/>
      <c r="I115" s="5"/>
      <c r="J115" s="5"/>
      <c r="K115" s="5"/>
      <c r="L115" s="5"/>
      <c r="M115" s="6">
        <v>251</v>
      </c>
      <c r="N115" s="6">
        <v>263</v>
      </c>
      <c r="O115" s="6">
        <v>623</v>
      </c>
      <c r="P115" s="6">
        <v>137</v>
      </c>
      <c r="Q115" s="6">
        <v>175</v>
      </c>
      <c r="R115" s="6">
        <v>108</v>
      </c>
      <c r="S115" s="6">
        <v>96</v>
      </c>
      <c r="T115" s="6">
        <v>11</v>
      </c>
      <c r="U115" s="6">
        <v>60</v>
      </c>
      <c r="V115" s="6">
        <v>100</v>
      </c>
      <c r="W115" s="6">
        <v>-234</v>
      </c>
      <c r="X115" s="6">
        <v>18</v>
      </c>
      <c r="Y115" s="6">
        <v>-22</v>
      </c>
      <c r="Z115" s="6">
        <v>22</v>
      </c>
      <c r="AA115" s="6">
        <v>8</v>
      </c>
      <c r="AB115" s="6">
        <v>64</v>
      </c>
      <c r="AC115" s="6">
        <v>80</v>
      </c>
      <c r="AD115" s="6">
        <v>18</v>
      </c>
      <c r="AE115" s="6">
        <v>-9</v>
      </c>
      <c r="AF115" s="6">
        <v>5</v>
      </c>
      <c r="AG115" s="6">
        <v>51</v>
      </c>
      <c r="AH115" s="6">
        <v>89</v>
      </c>
      <c r="AI115" s="6">
        <v>28</v>
      </c>
      <c r="AJ115" s="6">
        <v>96</v>
      </c>
      <c r="AK115" s="6">
        <v>54</v>
      </c>
      <c r="AL115" s="7">
        <v>2092</v>
      </c>
    </row>
    <row r="116" spans="1:38" ht="11.1" customHeight="1" x14ac:dyDescent="0.2">
      <c r="A116" s="4" t="s">
        <v>263</v>
      </c>
      <c r="B116" s="4" t="s">
        <v>264</v>
      </c>
      <c r="C116" s="4" t="s">
        <v>1294</v>
      </c>
      <c r="D116" s="4">
        <v>5</v>
      </c>
      <c r="E116" s="5"/>
      <c r="F116" s="5"/>
      <c r="G116" s="5"/>
      <c r="H116" s="5"/>
      <c r="I116" s="5"/>
      <c r="J116" s="5"/>
      <c r="K116" s="5"/>
      <c r="L116" s="6">
        <v>30</v>
      </c>
      <c r="M116" s="6">
        <v>171</v>
      </c>
      <c r="N116" s="6">
        <v>33</v>
      </c>
      <c r="O116" s="6">
        <v>132</v>
      </c>
      <c r="P116" s="6">
        <v>80</v>
      </c>
      <c r="Q116" s="6">
        <v>95</v>
      </c>
      <c r="R116" s="6">
        <v>62</v>
      </c>
      <c r="S116" s="6">
        <v>-21</v>
      </c>
      <c r="T116" s="6">
        <v>70</v>
      </c>
      <c r="U116" s="6">
        <v>36</v>
      </c>
      <c r="V116" s="6">
        <v>46</v>
      </c>
      <c r="W116" s="6">
        <v>5</v>
      </c>
      <c r="X116" s="6">
        <v>26</v>
      </c>
      <c r="Y116" s="6">
        <v>-8</v>
      </c>
      <c r="Z116" s="6">
        <v>12</v>
      </c>
      <c r="AA116" s="5"/>
      <c r="AB116" s="6">
        <v>8</v>
      </c>
      <c r="AC116" s="6">
        <v>30</v>
      </c>
      <c r="AD116" s="6">
        <v>11</v>
      </c>
      <c r="AE116" s="6">
        <v>45</v>
      </c>
      <c r="AF116" s="5"/>
      <c r="AG116" s="6">
        <v>38</v>
      </c>
      <c r="AH116" s="6">
        <v>28</v>
      </c>
      <c r="AI116" s="6">
        <v>5</v>
      </c>
      <c r="AJ116" s="6">
        <v>47</v>
      </c>
      <c r="AK116" s="6">
        <v>17</v>
      </c>
      <c r="AL116" s="6">
        <v>998</v>
      </c>
    </row>
    <row r="117" spans="1:38" ht="11.1" customHeight="1" x14ac:dyDescent="0.2">
      <c r="A117" s="4" t="s">
        <v>265</v>
      </c>
      <c r="B117" s="4" t="s">
        <v>266</v>
      </c>
      <c r="C117" s="4" t="s">
        <v>1295</v>
      </c>
      <c r="D117" s="4">
        <v>5</v>
      </c>
      <c r="E117" s="5"/>
      <c r="F117" s="5"/>
      <c r="G117" s="5"/>
      <c r="H117" s="5"/>
      <c r="I117" s="5"/>
      <c r="J117" s="5"/>
      <c r="K117" s="5"/>
      <c r="L117" s="6">
        <v>20</v>
      </c>
      <c r="M117" s="6">
        <v>88</v>
      </c>
      <c r="N117" s="6">
        <v>18</v>
      </c>
      <c r="O117" s="6">
        <v>55</v>
      </c>
      <c r="P117" s="6">
        <v>49</v>
      </c>
      <c r="Q117" s="6">
        <v>30</v>
      </c>
      <c r="R117" s="6">
        <v>14</v>
      </c>
      <c r="S117" s="6">
        <v>-7</v>
      </c>
      <c r="T117" s="6">
        <v>42</v>
      </c>
      <c r="U117" s="6">
        <v>8</v>
      </c>
      <c r="V117" s="6">
        <v>23</v>
      </c>
      <c r="W117" s="6">
        <v>4</v>
      </c>
      <c r="X117" s="6">
        <v>23</v>
      </c>
      <c r="Y117" s="6">
        <v>-10</v>
      </c>
      <c r="Z117" s="6">
        <v>2</v>
      </c>
      <c r="AA117" s="5"/>
      <c r="AB117" s="6">
        <v>6</v>
      </c>
      <c r="AC117" s="6">
        <v>6</v>
      </c>
      <c r="AD117" s="6">
        <v>1</v>
      </c>
      <c r="AE117" s="6">
        <v>39</v>
      </c>
      <c r="AF117" s="6">
        <v>2</v>
      </c>
      <c r="AG117" s="6">
        <v>16</v>
      </c>
      <c r="AH117" s="6">
        <v>3</v>
      </c>
      <c r="AI117" s="6">
        <v>9</v>
      </c>
      <c r="AJ117" s="6">
        <v>15</v>
      </c>
      <c r="AK117" s="6">
        <v>11</v>
      </c>
      <c r="AL117" s="6">
        <v>467</v>
      </c>
    </row>
    <row r="118" spans="1:38" ht="11.1" customHeight="1" x14ac:dyDescent="0.2">
      <c r="A118" s="4" t="s">
        <v>267</v>
      </c>
      <c r="B118" s="4" t="s">
        <v>268</v>
      </c>
      <c r="C118" s="4" t="s">
        <v>1296</v>
      </c>
      <c r="D118" s="4">
        <v>5</v>
      </c>
      <c r="E118" s="5"/>
      <c r="F118" s="5"/>
      <c r="G118" s="5"/>
      <c r="H118" s="5"/>
      <c r="I118" s="5"/>
      <c r="J118" s="5"/>
      <c r="K118" s="5"/>
      <c r="L118" s="6">
        <v>10</v>
      </c>
      <c r="M118" s="6">
        <v>51</v>
      </c>
      <c r="N118" s="6">
        <v>10</v>
      </c>
      <c r="O118" s="6">
        <v>21</v>
      </c>
      <c r="P118" s="6">
        <v>5</v>
      </c>
      <c r="Q118" s="6">
        <v>15</v>
      </c>
      <c r="R118" s="6">
        <v>17</v>
      </c>
      <c r="S118" s="6">
        <v>-2</v>
      </c>
      <c r="T118" s="6">
        <v>15</v>
      </c>
      <c r="U118" s="6">
        <v>3</v>
      </c>
      <c r="V118" s="6">
        <v>18</v>
      </c>
      <c r="W118" s="6">
        <v>-6</v>
      </c>
      <c r="X118" s="5"/>
      <c r="Y118" s="5"/>
      <c r="Z118" s="6">
        <v>5</v>
      </c>
      <c r="AA118" s="6">
        <v>1</v>
      </c>
      <c r="AB118" s="5"/>
      <c r="AC118" s="6">
        <v>2</v>
      </c>
      <c r="AD118" s="6">
        <v>1</v>
      </c>
      <c r="AE118" s="6">
        <v>16</v>
      </c>
      <c r="AF118" s="6">
        <v>1</v>
      </c>
      <c r="AG118" s="6">
        <v>6</v>
      </c>
      <c r="AH118" s="6">
        <v>3</v>
      </c>
      <c r="AI118" s="6">
        <v>1</v>
      </c>
      <c r="AJ118" s="6">
        <v>11</v>
      </c>
      <c r="AK118" s="5"/>
      <c r="AL118" s="6">
        <v>204</v>
      </c>
    </row>
    <row r="119" spans="1:38" ht="11.1" customHeight="1" x14ac:dyDescent="0.2">
      <c r="A119" s="4" t="s">
        <v>269</v>
      </c>
      <c r="B119" s="4" t="s">
        <v>270</v>
      </c>
      <c r="C119" s="4" t="s">
        <v>1297</v>
      </c>
      <c r="D119" s="4">
        <v>5</v>
      </c>
      <c r="E119" s="5"/>
      <c r="F119" s="5"/>
      <c r="G119" s="5"/>
      <c r="H119" s="5"/>
      <c r="I119" s="5"/>
      <c r="J119" s="5"/>
      <c r="K119" s="5"/>
      <c r="L119" s="6">
        <v>10</v>
      </c>
      <c r="M119" s="6">
        <v>35</v>
      </c>
      <c r="N119" s="6">
        <v>10</v>
      </c>
      <c r="O119" s="6">
        <v>12</v>
      </c>
      <c r="P119" s="6">
        <v>3</v>
      </c>
      <c r="Q119" s="6">
        <v>3</v>
      </c>
      <c r="R119" s="5"/>
      <c r="S119" s="6">
        <v>-9</v>
      </c>
      <c r="T119" s="6">
        <v>5</v>
      </c>
      <c r="U119" s="6">
        <v>2</v>
      </c>
      <c r="V119" s="6">
        <v>6</v>
      </c>
      <c r="W119" s="6">
        <v>-3</v>
      </c>
      <c r="X119" s="6">
        <v>-9</v>
      </c>
      <c r="Y119" s="6">
        <v>-10</v>
      </c>
      <c r="Z119" s="5"/>
      <c r="AA119" s="5"/>
      <c r="AB119" s="5"/>
      <c r="AC119" s="5"/>
      <c r="AD119" s="6">
        <v>2</v>
      </c>
      <c r="AE119" s="6">
        <v>-7</v>
      </c>
      <c r="AF119" s="5"/>
      <c r="AG119" s="5"/>
      <c r="AH119" s="5"/>
      <c r="AI119" s="5"/>
      <c r="AJ119" s="6">
        <v>1</v>
      </c>
      <c r="AK119" s="5"/>
      <c r="AL119" s="6">
        <v>51</v>
      </c>
    </row>
    <row r="120" spans="1:38" ht="11.1" customHeight="1" x14ac:dyDescent="0.2">
      <c r="A120" s="4" t="s">
        <v>271</v>
      </c>
      <c r="B120" s="4" t="s">
        <v>272</v>
      </c>
      <c r="C120" s="4" t="s">
        <v>1298</v>
      </c>
      <c r="D120" s="4">
        <v>5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6">
        <v>46</v>
      </c>
      <c r="Q120" s="6">
        <v>13</v>
      </c>
      <c r="R120" s="6">
        <v>16</v>
      </c>
      <c r="S120" s="6">
        <v>6</v>
      </c>
      <c r="T120" s="6">
        <v>31</v>
      </c>
      <c r="U120" s="6">
        <v>26</v>
      </c>
      <c r="V120" s="6">
        <v>13</v>
      </c>
      <c r="W120" s="6">
        <v>6</v>
      </c>
      <c r="X120" s="6">
        <v>4</v>
      </c>
      <c r="Y120" s="6">
        <v>2</v>
      </c>
      <c r="Z120" s="6">
        <v>1</v>
      </c>
      <c r="AA120" s="5"/>
      <c r="AB120" s="5"/>
      <c r="AC120" s="6">
        <v>4</v>
      </c>
      <c r="AD120" s="6">
        <v>9</v>
      </c>
      <c r="AE120" s="6">
        <v>-1</v>
      </c>
      <c r="AF120" s="5"/>
      <c r="AG120" s="6">
        <v>3</v>
      </c>
      <c r="AH120" s="6">
        <v>7</v>
      </c>
      <c r="AI120" s="6">
        <v>5</v>
      </c>
      <c r="AJ120" s="6">
        <v>20</v>
      </c>
      <c r="AK120" s="6">
        <v>4</v>
      </c>
      <c r="AL120" s="6">
        <v>215</v>
      </c>
    </row>
    <row r="121" spans="1:38" ht="11.1" customHeight="1" x14ac:dyDescent="0.2">
      <c r="A121" s="4" t="s">
        <v>273</v>
      </c>
      <c r="B121" s="4" t="s">
        <v>274</v>
      </c>
      <c r="C121" s="4" t="s">
        <v>1299</v>
      </c>
      <c r="D121" s="4">
        <v>5</v>
      </c>
      <c r="E121" s="5"/>
      <c r="F121" s="5"/>
      <c r="G121" s="5"/>
      <c r="H121" s="5"/>
      <c r="I121" s="5"/>
      <c r="J121" s="5"/>
      <c r="K121" s="5"/>
      <c r="L121" s="6">
        <v>6</v>
      </c>
      <c r="M121" s="6">
        <v>20</v>
      </c>
      <c r="N121" s="6">
        <v>10</v>
      </c>
      <c r="O121" s="5"/>
      <c r="P121" s="5"/>
      <c r="Q121" s="6">
        <v>5</v>
      </c>
      <c r="R121" s="5"/>
      <c r="S121" s="5"/>
      <c r="T121" s="5"/>
      <c r="U121" s="6">
        <v>6</v>
      </c>
      <c r="V121" s="6">
        <v>-5</v>
      </c>
      <c r="W121" s="6">
        <v>3</v>
      </c>
      <c r="X121" s="6">
        <v>-10</v>
      </c>
      <c r="Y121" s="6">
        <v>-5</v>
      </c>
      <c r="Z121" s="6">
        <v>5</v>
      </c>
      <c r="AA121" s="6">
        <v>15</v>
      </c>
      <c r="AB121" s="6">
        <v>5</v>
      </c>
      <c r="AC121" s="5"/>
      <c r="AD121" s="5"/>
      <c r="AE121" s="6">
        <v>-5</v>
      </c>
      <c r="AF121" s="5"/>
      <c r="AG121" s="5"/>
      <c r="AH121" s="5"/>
      <c r="AI121" s="5"/>
      <c r="AJ121" s="5"/>
      <c r="AK121" s="5"/>
      <c r="AL121" s="6">
        <v>50</v>
      </c>
    </row>
    <row r="122" spans="1:38" ht="11.1" customHeight="1" x14ac:dyDescent="0.2">
      <c r="A122" s="4" t="s">
        <v>275</v>
      </c>
      <c r="B122" s="4" t="s">
        <v>276</v>
      </c>
      <c r="C122" s="4" t="s">
        <v>1300</v>
      </c>
      <c r="D122" s="4">
        <v>5</v>
      </c>
      <c r="E122" s="5"/>
      <c r="F122" s="5"/>
      <c r="G122" s="5"/>
      <c r="H122" s="5"/>
      <c r="I122" s="5"/>
      <c r="J122" s="5"/>
      <c r="K122" s="5"/>
      <c r="L122" s="6">
        <v>5</v>
      </c>
      <c r="M122" s="6">
        <v>11</v>
      </c>
      <c r="N122" s="5"/>
      <c r="O122" s="6">
        <v>20</v>
      </c>
      <c r="P122" s="6">
        <v>1</v>
      </c>
      <c r="Q122" s="6">
        <v>6</v>
      </c>
      <c r="R122" s="6">
        <v>2</v>
      </c>
      <c r="S122" s="6">
        <v>4</v>
      </c>
      <c r="T122" s="6">
        <v>8</v>
      </c>
      <c r="U122" s="5"/>
      <c r="V122" s="6">
        <v>8</v>
      </c>
      <c r="W122" s="6">
        <v>1</v>
      </c>
      <c r="X122" s="6">
        <v>-3</v>
      </c>
      <c r="Y122" s="6">
        <v>-1</v>
      </c>
      <c r="Z122" s="6">
        <v>5</v>
      </c>
      <c r="AA122" s="5"/>
      <c r="AB122" s="5"/>
      <c r="AC122" s="5"/>
      <c r="AD122" s="5"/>
      <c r="AE122" s="6">
        <v>-6</v>
      </c>
      <c r="AF122" s="5"/>
      <c r="AG122" s="6">
        <v>1</v>
      </c>
      <c r="AH122" s="5"/>
      <c r="AI122" s="5"/>
      <c r="AJ122" s="6">
        <v>22</v>
      </c>
      <c r="AK122" s="5"/>
      <c r="AL122" s="6">
        <v>84</v>
      </c>
    </row>
    <row r="123" spans="1:38" ht="11.1" customHeight="1" x14ac:dyDescent="0.2">
      <c r="A123" s="4" t="s">
        <v>277</v>
      </c>
      <c r="B123" s="4" t="s">
        <v>278</v>
      </c>
      <c r="C123" s="4" t="s">
        <v>1301</v>
      </c>
      <c r="D123" s="4">
        <v>5</v>
      </c>
      <c r="E123" s="5"/>
      <c r="F123" s="5"/>
      <c r="G123" s="5"/>
      <c r="H123" s="5"/>
      <c r="I123" s="5"/>
      <c r="J123" s="5"/>
      <c r="K123" s="5"/>
      <c r="L123" s="6">
        <v>6</v>
      </c>
      <c r="M123" s="6">
        <v>25</v>
      </c>
      <c r="N123" s="5"/>
      <c r="O123" s="6">
        <v>6</v>
      </c>
      <c r="P123" s="6">
        <v>3</v>
      </c>
      <c r="Q123" s="5"/>
      <c r="R123" s="6">
        <v>5</v>
      </c>
      <c r="S123" s="6">
        <v>-10</v>
      </c>
      <c r="T123" s="6">
        <v>5</v>
      </c>
      <c r="U123" s="5"/>
      <c r="V123" s="6">
        <v>1</v>
      </c>
      <c r="W123" s="6">
        <v>-10</v>
      </c>
      <c r="X123" s="6">
        <v>-5</v>
      </c>
      <c r="Y123" s="6">
        <v>-5</v>
      </c>
      <c r="Z123" s="5"/>
      <c r="AA123" s="5"/>
      <c r="AB123" s="5"/>
      <c r="AC123" s="5"/>
      <c r="AD123" s="5"/>
      <c r="AE123" s="6">
        <v>-1</v>
      </c>
      <c r="AF123" s="5"/>
      <c r="AG123" s="5"/>
      <c r="AH123" s="5"/>
      <c r="AI123" s="5"/>
      <c r="AJ123" s="5"/>
      <c r="AK123" s="5"/>
      <c r="AL123" s="6">
        <v>20</v>
      </c>
    </row>
    <row r="124" spans="1:38" ht="23.1" customHeight="1" x14ac:dyDescent="0.2">
      <c r="A124" s="4" t="s">
        <v>279</v>
      </c>
      <c r="B124" s="4" t="s">
        <v>280</v>
      </c>
      <c r="C124" s="4" t="s">
        <v>1302</v>
      </c>
      <c r="D124" s="4">
        <v>1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6">
        <v>1</v>
      </c>
      <c r="P124" s="5"/>
      <c r="Q124" s="6">
        <v>6</v>
      </c>
      <c r="R124" s="6">
        <v>3</v>
      </c>
      <c r="S124" s="5"/>
      <c r="T124" s="5"/>
      <c r="U124" s="5"/>
      <c r="V124" s="6">
        <v>4</v>
      </c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6">
        <v>14</v>
      </c>
    </row>
    <row r="125" spans="1:38" ht="11.1" customHeight="1" x14ac:dyDescent="0.2">
      <c r="A125" s="4" t="s">
        <v>281</v>
      </c>
      <c r="B125" s="4" t="s">
        <v>282</v>
      </c>
      <c r="C125" s="4" t="s">
        <v>1303</v>
      </c>
      <c r="D125" s="4">
        <v>5</v>
      </c>
      <c r="E125" s="5"/>
      <c r="F125" s="5"/>
      <c r="G125" s="5"/>
      <c r="H125" s="5"/>
      <c r="I125" s="5"/>
      <c r="J125" s="5"/>
      <c r="K125" s="5"/>
      <c r="L125" s="6">
        <v>14</v>
      </c>
      <c r="M125" s="6">
        <v>627</v>
      </c>
      <c r="N125" s="6">
        <v>197</v>
      </c>
      <c r="O125" s="6">
        <v>379</v>
      </c>
      <c r="P125" s="6">
        <v>662</v>
      </c>
      <c r="Q125" s="6">
        <v>293</v>
      </c>
      <c r="R125" s="6">
        <v>690</v>
      </c>
      <c r="S125" s="7">
        <v>1011</v>
      </c>
      <c r="T125" s="6">
        <v>337</v>
      </c>
      <c r="U125" s="6">
        <v>226</v>
      </c>
      <c r="V125" s="6">
        <v>275</v>
      </c>
      <c r="W125" s="6">
        <v>185</v>
      </c>
      <c r="X125" s="6">
        <v>100</v>
      </c>
      <c r="Y125" s="6">
        <v>193</v>
      </c>
      <c r="Z125" s="6">
        <v>88</v>
      </c>
      <c r="AA125" s="6">
        <v>249</v>
      </c>
      <c r="AB125" s="6">
        <v>124</v>
      </c>
      <c r="AC125" s="6">
        <v>91</v>
      </c>
      <c r="AD125" s="6">
        <v>75</v>
      </c>
      <c r="AE125" s="6">
        <v>-51</v>
      </c>
      <c r="AF125" s="6">
        <v>34</v>
      </c>
      <c r="AG125" s="6">
        <v>246</v>
      </c>
      <c r="AH125" s="6">
        <v>276</v>
      </c>
      <c r="AI125" s="6">
        <v>496</v>
      </c>
      <c r="AJ125" s="6">
        <v>-7</v>
      </c>
      <c r="AK125" s="6">
        <v>241</v>
      </c>
      <c r="AL125" s="7">
        <v>7051</v>
      </c>
    </row>
    <row r="126" spans="1:38" ht="11.1" customHeight="1" x14ac:dyDescent="0.2">
      <c r="A126" s="4" t="s">
        <v>283</v>
      </c>
      <c r="B126" s="4" t="s">
        <v>284</v>
      </c>
      <c r="C126" s="4" t="s">
        <v>1304</v>
      </c>
      <c r="D126" s="4">
        <v>5</v>
      </c>
      <c r="E126" s="5"/>
      <c r="F126" s="5"/>
      <c r="G126" s="5"/>
      <c r="H126" s="5"/>
      <c r="I126" s="5"/>
      <c r="J126" s="5"/>
      <c r="K126" s="5"/>
      <c r="L126" s="6">
        <v>14</v>
      </c>
      <c r="M126" s="6">
        <v>211</v>
      </c>
      <c r="N126" s="6">
        <v>36</v>
      </c>
      <c r="O126" s="6">
        <v>148</v>
      </c>
      <c r="P126" s="6">
        <v>92</v>
      </c>
      <c r="Q126" s="6">
        <v>46</v>
      </c>
      <c r="R126" s="6">
        <v>75</v>
      </c>
      <c r="S126" s="6">
        <v>72</v>
      </c>
      <c r="T126" s="6">
        <v>155</v>
      </c>
      <c r="U126" s="6">
        <v>55</v>
      </c>
      <c r="V126" s="6">
        <v>62</v>
      </c>
      <c r="W126" s="6">
        <v>33</v>
      </c>
      <c r="X126" s="6">
        <v>15</v>
      </c>
      <c r="Y126" s="6">
        <v>60</v>
      </c>
      <c r="Z126" s="6">
        <v>7</v>
      </c>
      <c r="AA126" s="6">
        <v>39</v>
      </c>
      <c r="AB126" s="6">
        <v>24</v>
      </c>
      <c r="AC126" s="6">
        <v>13</v>
      </c>
      <c r="AD126" s="6">
        <v>13</v>
      </c>
      <c r="AE126" s="6">
        <v>-39</v>
      </c>
      <c r="AF126" s="6">
        <v>9</v>
      </c>
      <c r="AG126" s="6">
        <v>47</v>
      </c>
      <c r="AH126" s="6">
        <v>79</v>
      </c>
      <c r="AI126" s="6">
        <v>135</v>
      </c>
      <c r="AJ126" s="6">
        <v>10</v>
      </c>
      <c r="AK126" s="6">
        <v>40</v>
      </c>
      <c r="AL126" s="7">
        <v>1451</v>
      </c>
    </row>
    <row r="127" spans="1:38" ht="11.1" customHeight="1" x14ac:dyDescent="0.2">
      <c r="A127" s="4" t="s">
        <v>285</v>
      </c>
      <c r="B127" s="4" t="s">
        <v>286</v>
      </c>
      <c r="C127" s="4" t="s">
        <v>1305</v>
      </c>
      <c r="D127" s="4">
        <v>5</v>
      </c>
      <c r="E127" s="5"/>
      <c r="F127" s="5"/>
      <c r="G127" s="5"/>
      <c r="H127" s="5"/>
      <c r="I127" s="5"/>
      <c r="J127" s="5"/>
      <c r="K127" s="5"/>
      <c r="L127" s="6">
        <v>10</v>
      </c>
      <c r="M127" s="6">
        <v>21</v>
      </c>
      <c r="N127" s="6">
        <v>17</v>
      </c>
      <c r="O127" s="6">
        <v>10</v>
      </c>
      <c r="P127" s="6">
        <v>2</v>
      </c>
      <c r="Q127" s="6">
        <v>3</v>
      </c>
      <c r="R127" s="6">
        <v>27</v>
      </c>
      <c r="S127" s="6">
        <v>20</v>
      </c>
      <c r="T127" s="6">
        <v>10</v>
      </c>
      <c r="U127" s="6">
        <v>1</v>
      </c>
      <c r="V127" s="5"/>
      <c r="W127" s="6">
        <v>4</v>
      </c>
      <c r="X127" s="6">
        <v>6</v>
      </c>
      <c r="Y127" s="6">
        <v>-8</v>
      </c>
      <c r="Z127" s="6">
        <v>-8</v>
      </c>
      <c r="AA127" s="5"/>
      <c r="AB127" s="5"/>
      <c r="AC127" s="5"/>
      <c r="AD127" s="5"/>
      <c r="AE127" s="6">
        <v>-12</v>
      </c>
      <c r="AF127" s="5"/>
      <c r="AG127" s="5"/>
      <c r="AH127" s="5"/>
      <c r="AI127" s="5"/>
      <c r="AJ127" s="5"/>
      <c r="AK127" s="6">
        <v>3</v>
      </c>
      <c r="AL127" s="6">
        <v>106</v>
      </c>
    </row>
    <row r="128" spans="1:38" ht="11.1" customHeight="1" x14ac:dyDescent="0.2">
      <c r="A128" s="4" t="s">
        <v>287</v>
      </c>
      <c r="B128" s="4" t="s">
        <v>288</v>
      </c>
      <c r="C128" s="4" t="s">
        <v>1306</v>
      </c>
      <c r="D128" s="4">
        <v>5</v>
      </c>
      <c r="E128" s="5"/>
      <c r="F128" s="5"/>
      <c r="G128" s="5"/>
      <c r="H128" s="5"/>
      <c r="I128" s="5"/>
      <c r="J128" s="5"/>
      <c r="K128" s="5"/>
      <c r="L128" s="6">
        <v>10</v>
      </c>
      <c r="M128" s="6">
        <v>226</v>
      </c>
      <c r="N128" s="6">
        <v>97</v>
      </c>
      <c r="O128" s="6">
        <v>37</v>
      </c>
      <c r="P128" s="6">
        <v>102</v>
      </c>
      <c r="Q128" s="6">
        <v>39</v>
      </c>
      <c r="R128" s="6">
        <v>95</v>
      </c>
      <c r="S128" s="6">
        <v>59</v>
      </c>
      <c r="T128" s="6">
        <v>120</v>
      </c>
      <c r="U128" s="6">
        <v>12</v>
      </c>
      <c r="V128" s="6">
        <v>35</v>
      </c>
      <c r="W128" s="6">
        <v>43</v>
      </c>
      <c r="X128" s="6">
        <v>-11</v>
      </c>
      <c r="Y128" s="6">
        <v>31</v>
      </c>
      <c r="Z128" s="6">
        <v>37</v>
      </c>
      <c r="AA128" s="6">
        <v>40</v>
      </c>
      <c r="AB128" s="6">
        <v>14</v>
      </c>
      <c r="AC128" s="6">
        <v>19</v>
      </c>
      <c r="AD128" s="6">
        <v>7</v>
      </c>
      <c r="AE128" s="6">
        <v>-12</v>
      </c>
      <c r="AF128" s="6">
        <v>7</v>
      </c>
      <c r="AG128" s="6">
        <v>16</v>
      </c>
      <c r="AH128" s="6">
        <v>60</v>
      </c>
      <c r="AI128" s="6">
        <v>55</v>
      </c>
      <c r="AJ128" s="6">
        <v>9</v>
      </c>
      <c r="AK128" s="6">
        <v>27</v>
      </c>
      <c r="AL128" s="7">
        <v>1174</v>
      </c>
    </row>
    <row r="129" spans="1:38" ht="11.1" customHeight="1" x14ac:dyDescent="0.2">
      <c r="A129" s="4" t="s">
        <v>289</v>
      </c>
      <c r="B129" s="4" t="s">
        <v>290</v>
      </c>
      <c r="C129" s="4" t="s">
        <v>1307</v>
      </c>
      <c r="D129" s="4">
        <v>5</v>
      </c>
      <c r="E129" s="5"/>
      <c r="F129" s="5"/>
      <c r="G129" s="5"/>
      <c r="H129" s="5"/>
      <c r="I129" s="5"/>
      <c r="J129" s="5"/>
      <c r="K129" s="5"/>
      <c r="L129" s="6">
        <v>5</v>
      </c>
      <c r="M129" s="6">
        <v>24</v>
      </c>
      <c r="N129" s="6">
        <v>20</v>
      </c>
      <c r="O129" s="6">
        <v>30</v>
      </c>
      <c r="P129" s="5"/>
      <c r="Q129" s="6">
        <v>12</v>
      </c>
      <c r="R129" s="6">
        <v>11</v>
      </c>
      <c r="S129" s="6">
        <v>5</v>
      </c>
      <c r="T129" s="6">
        <v>10</v>
      </c>
      <c r="U129" s="5"/>
      <c r="V129" s="5"/>
      <c r="W129" s="6">
        <v>10</v>
      </c>
      <c r="X129" s="6">
        <v>-5</v>
      </c>
      <c r="Y129" s="6">
        <v>2</v>
      </c>
      <c r="Z129" s="6">
        <v>-8</v>
      </c>
      <c r="AA129" s="5"/>
      <c r="AB129" s="5"/>
      <c r="AC129" s="5"/>
      <c r="AD129" s="5"/>
      <c r="AE129" s="6">
        <v>-16</v>
      </c>
      <c r="AF129" s="5"/>
      <c r="AG129" s="6">
        <v>10</v>
      </c>
      <c r="AH129" s="5"/>
      <c r="AI129" s="5"/>
      <c r="AJ129" s="5"/>
      <c r="AK129" s="6">
        <v>1</v>
      </c>
      <c r="AL129" s="6">
        <v>111</v>
      </c>
    </row>
    <row r="130" spans="1:38" ht="11.1" customHeight="1" x14ac:dyDescent="0.2">
      <c r="A130" s="4" t="s">
        <v>291</v>
      </c>
      <c r="B130" s="4" t="s">
        <v>292</v>
      </c>
      <c r="C130" s="4" t="s">
        <v>1308</v>
      </c>
      <c r="D130" s="4">
        <v>5</v>
      </c>
      <c r="E130" s="5"/>
      <c r="F130" s="5"/>
      <c r="G130" s="5"/>
      <c r="H130" s="5"/>
      <c r="I130" s="5"/>
      <c r="J130" s="5"/>
      <c r="K130" s="5"/>
      <c r="L130" s="5"/>
      <c r="M130" s="5"/>
      <c r="N130" s="6">
        <v>18</v>
      </c>
      <c r="O130" s="6">
        <v>8</v>
      </c>
      <c r="P130" s="6">
        <v>17</v>
      </c>
      <c r="Q130" s="6">
        <v>24</v>
      </c>
      <c r="R130" s="6">
        <v>38</v>
      </c>
      <c r="S130" s="6">
        <v>28</v>
      </c>
      <c r="T130" s="6">
        <v>9</v>
      </c>
      <c r="U130" s="6">
        <v>5</v>
      </c>
      <c r="V130" s="6">
        <v>32</v>
      </c>
      <c r="W130" s="6">
        <v>12</v>
      </c>
      <c r="X130" s="6">
        <v>7</v>
      </c>
      <c r="Y130" s="6">
        <v>15</v>
      </c>
      <c r="Z130" s="6">
        <v>7</v>
      </c>
      <c r="AA130" s="6">
        <v>14</v>
      </c>
      <c r="AB130" s="6">
        <v>22</v>
      </c>
      <c r="AC130" s="6">
        <v>2</v>
      </c>
      <c r="AD130" s="6">
        <v>13</v>
      </c>
      <c r="AE130" s="6">
        <v>-12</v>
      </c>
      <c r="AF130" s="6">
        <v>3</v>
      </c>
      <c r="AG130" s="6">
        <v>56</v>
      </c>
      <c r="AH130" s="6">
        <v>18</v>
      </c>
      <c r="AI130" s="6">
        <v>35</v>
      </c>
      <c r="AJ130" s="6">
        <v>2</v>
      </c>
      <c r="AK130" s="6">
        <v>17</v>
      </c>
      <c r="AL130" s="6">
        <v>390</v>
      </c>
    </row>
    <row r="131" spans="1:38" ht="11.1" customHeight="1" x14ac:dyDescent="0.2">
      <c r="A131" s="4" t="s">
        <v>293</v>
      </c>
      <c r="B131" s="4" t="s">
        <v>294</v>
      </c>
      <c r="C131" s="4" t="s">
        <v>1309</v>
      </c>
      <c r="D131" s="4">
        <v>5</v>
      </c>
      <c r="E131" s="5"/>
      <c r="F131" s="5"/>
      <c r="G131" s="5"/>
      <c r="H131" s="5"/>
      <c r="I131" s="5"/>
      <c r="J131" s="5"/>
      <c r="K131" s="5"/>
      <c r="L131" s="6">
        <v>5</v>
      </c>
      <c r="M131" s="6">
        <v>83</v>
      </c>
      <c r="N131" s="6">
        <v>22</v>
      </c>
      <c r="O131" s="6">
        <v>29</v>
      </c>
      <c r="P131" s="6">
        <v>10</v>
      </c>
      <c r="Q131" s="6">
        <v>28</v>
      </c>
      <c r="R131" s="6">
        <v>48</v>
      </c>
      <c r="S131" s="6">
        <v>31</v>
      </c>
      <c r="T131" s="6">
        <v>35</v>
      </c>
      <c r="U131" s="6">
        <v>15</v>
      </c>
      <c r="V131" s="6">
        <v>32</v>
      </c>
      <c r="W131" s="6">
        <v>16</v>
      </c>
      <c r="X131" s="6">
        <v>-7</v>
      </c>
      <c r="Y131" s="6">
        <v>11</v>
      </c>
      <c r="Z131" s="6">
        <v>-9</v>
      </c>
      <c r="AA131" s="6">
        <v>8</v>
      </c>
      <c r="AB131" s="6">
        <v>22</v>
      </c>
      <c r="AC131" s="5"/>
      <c r="AD131" s="6">
        <v>2</v>
      </c>
      <c r="AE131" s="6">
        <v>-7</v>
      </c>
      <c r="AF131" s="5"/>
      <c r="AG131" s="6">
        <v>4</v>
      </c>
      <c r="AH131" s="6">
        <v>23</v>
      </c>
      <c r="AI131" s="6">
        <v>45</v>
      </c>
      <c r="AJ131" s="6">
        <v>10</v>
      </c>
      <c r="AK131" s="6">
        <v>17</v>
      </c>
      <c r="AL131" s="6">
        <v>473</v>
      </c>
    </row>
    <row r="132" spans="1:38" ht="11.1" customHeight="1" x14ac:dyDescent="0.2">
      <c r="A132" s="4" t="s">
        <v>295</v>
      </c>
      <c r="B132" s="4" t="s">
        <v>296</v>
      </c>
      <c r="C132" s="4" t="s">
        <v>1310</v>
      </c>
      <c r="D132" s="4">
        <v>5</v>
      </c>
      <c r="E132" s="5"/>
      <c r="F132" s="5"/>
      <c r="G132" s="5"/>
      <c r="H132" s="5"/>
      <c r="I132" s="5"/>
      <c r="J132" s="5"/>
      <c r="K132" s="5"/>
      <c r="L132" s="5"/>
      <c r="M132" s="6">
        <v>26</v>
      </c>
      <c r="N132" s="6">
        <v>25</v>
      </c>
      <c r="O132" s="6">
        <v>13</v>
      </c>
      <c r="P132" s="6">
        <v>6</v>
      </c>
      <c r="Q132" s="6">
        <v>6</v>
      </c>
      <c r="R132" s="6">
        <v>23</v>
      </c>
      <c r="S132" s="6">
        <v>-3</v>
      </c>
      <c r="T132" s="6">
        <v>8</v>
      </c>
      <c r="U132" s="6">
        <v>2</v>
      </c>
      <c r="V132" s="6">
        <v>19</v>
      </c>
      <c r="W132" s="5"/>
      <c r="X132" s="6">
        <v>-5</v>
      </c>
      <c r="Y132" s="6">
        <v>1</v>
      </c>
      <c r="Z132" s="6">
        <v>-3</v>
      </c>
      <c r="AA132" s="6">
        <v>7</v>
      </c>
      <c r="AB132" s="5"/>
      <c r="AC132" s="5"/>
      <c r="AD132" s="6">
        <v>3</v>
      </c>
      <c r="AE132" s="6">
        <v>-13</v>
      </c>
      <c r="AF132" s="5"/>
      <c r="AG132" s="5"/>
      <c r="AH132" s="6">
        <v>7</v>
      </c>
      <c r="AI132" s="6">
        <v>18</v>
      </c>
      <c r="AJ132" s="6">
        <v>2</v>
      </c>
      <c r="AK132" s="6">
        <v>3</v>
      </c>
      <c r="AL132" s="6">
        <v>145</v>
      </c>
    </row>
    <row r="133" spans="1:38" ht="11.1" customHeight="1" x14ac:dyDescent="0.2">
      <c r="A133" s="4" t="s">
        <v>297</v>
      </c>
      <c r="B133" s="4" t="s">
        <v>298</v>
      </c>
      <c r="C133" s="4" t="s">
        <v>1311</v>
      </c>
      <c r="D133" s="4">
        <v>1</v>
      </c>
      <c r="E133" s="5"/>
      <c r="F133" s="5"/>
      <c r="G133" s="5"/>
      <c r="H133" s="5"/>
      <c r="I133" s="5"/>
      <c r="J133" s="5"/>
      <c r="K133" s="5"/>
      <c r="L133" s="6">
        <v>3</v>
      </c>
      <c r="M133" s="6">
        <v>7</v>
      </c>
      <c r="N133" s="6">
        <v>19</v>
      </c>
      <c r="O133" s="5"/>
      <c r="P133" s="6">
        <v>12</v>
      </c>
      <c r="Q133" s="5"/>
      <c r="R133" s="5"/>
      <c r="S133" s="6">
        <v>1</v>
      </c>
      <c r="T133" s="5"/>
      <c r="U133" s="6">
        <v>2</v>
      </c>
      <c r="V133" s="6">
        <v>2</v>
      </c>
      <c r="W133" s="5"/>
      <c r="X133" s="6">
        <v>-3</v>
      </c>
      <c r="Y133" s="6">
        <v>-3</v>
      </c>
      <c r="Z133" s="5"/>
      <c r="AA133" s="6">
        <v>2</v>
      </c>
      <c r="AB133" s="5"/>
      <c r="AC133" s="5"/>
      <c r="AD133" s="6">
        <v>1</v>
      </c>
      <c r="AE133" s="5"/>
      <c r="AF133" s="5"/>
      <c r="AG133" s="5"/>
      <c r="AH133" s="5"/>
      <c r="AI133" s="6">
        <v>1</v>
      </c>
      <c r="AJ133" s="5"/>
      <c r="AK133" s="6">
        <v>1</v>
      </c>
      <c r="AL133" s="6">
        <v>45</v>
      </c>
    </row>
    <row r="134" spans="1:38" ht="11.1" customHeight="1" x14ac:dyDescent="0.2">
      <c r="A134" s="4" t="s">
        <v>299</v>
      </c>
      <c r="B134" s="4" t="s">
        <v>300</v>
      </c>
      <c r="C134" s="4" t="s">
        <v>1312</v>
      </c>
      <c r="D134" s="4">
        <v>5</v>
      </c>
      <c r="E134" s="5"/>
      <c r="F134" s="5"/>
      <c r="G134" s="5"/>
      <c r="H134" s="5"/>
      <c r="I134" s="5"/>
      <c r="J134" s="5"/>
      <c r="K134" s="5"/>
      <c r="L134" s="6">
        <v>10</v>
      </c>
      <c r="M134" s="6">
        <v>138</v>
      </c>
      <c r="N134" s="6">
        <v>20</v>
      </c>
      <c r="O134" s="5"/>
      <c r="P134" s="6">
        <v>1</v>
      </c>
      <c r="Q134" s="6">
        <v>2</v>
      </c>
      <c r="R134" s="6">
        <v>3</v>
      </c>
      <c r="S134" s="5"/>
      <c r="T134" s="6">
        <v>37</v>
      </c>
      <c r="U134" s="6">
        <v>60</v>
      </c>
      <c r="V134" s="6">
        <v>70</v>
      </c>
      <c r="W134" s="6">
        <v>19</v>
      </c>
      <c r="X134" s="6">
        <v>-56</v>
      </c>
      <c r="Y134" s="6">
        <v>9</v>
      </c>
      <c r="Z134" s="6">
        <v>107</v>
      </c>
      <c r="AA134" s="6">
        <v>7</v>
      </c>
      <c r="AB134" s="5"/>
      <c r="AC134" s="5"/>
      <c r="AD134" s="5"/>
      <c r="AE134" s="6">
        <v>7</v>
      </c>
      <c r="AF134" s="5"/>
      <c r="AG134" s="5"/>
      <c r="AH134" s="6">
        <v>92</v>
      </c>
      <c r="AI134" s="6">
        <v>138</v>
      </c>
      <c r="AJ134" s="6">
        <v>4</v>
      </c>
      <c r="AK134" s="6">
        <v>65</v>
      </c>
      <c r="AL134" s="6">
        <v>733</v>
      </c>
    </row>
    <row r="135" spans="1:38" ht="11.1" customHeight="1" x14ac:dyDescent="0.2">
      <c r="A135" s="4" t="s">
        <v>301</v>
      </c>
      <c r="B135" s="4" t="s">
        <v>302</v>
      </c>
      <c r="C135" s="4" t="s">
        <v>1313</v>
      </c>
      <c r="D135" s="4">
        <v>5</v>
      </c>
      <c r="E135" s="5"/>
      <c r="F135" s="5"/>
      <c r="G135" s="5"/>
      <c r="H135" s="5"/>
      <c r="I135" s="5"/>
      <c r="J135" s="5"/>
      <c r="K135" s="5"/>
      <c r="L135" s="5"/>
      <c r="M135" s="6">
        <v>30</v>
      </c>
      <c r="N135" s="6">
        <v>17</v>
      </c>
      <c r="O135" s="6">
        <v>15</v>
      </c>
      <c r="P135" s="6">
        <v>7</v>
      </c>
      <c r="Q135" s="6">
        <v>2</v>
      </c>
      <c r="R135" s="6">
        <v>13</v>
      </c>
      <c r="S135" s="6">
        <v>26</v>
      </c>
      <c r="T135" s="5"/>
      <c r="U135" s="5"/>
      <c r="V135" s="6">
        <v>1</v>
      </c>
      <c r="W135" s="5"/>
      <c r="X135" s="6">
        <v>-8</v>
      </c>
      <c r="Y135" s="6">
        <v>2</v>
      </c>
      <c r="Z135" s="6">
        <v>-4</v>
      </c>
      <c r="AA135" s="5"/>
      <c r="AB135" s="5"/>
      <c r="AC135" s="5"/>
      <c r="AD135" s="5"/>
      <c r="AE135" s="6">
        <v>-7</v>
      </c>
      <c r="AF135" s="5"/>
      <c r="AG135" s="5"/>
      <c r="AH135" s="5"/>
      <c r="AI135" s="6">
        <v>7</v>
      </c>
      <c r="AJ135" s="6">
        <v>3</v>
      </c>
      <c r="AK135" s="5"/>
      <c r="AL135" s="6">
        <v>104</v>
      </c>
    </row>
    <row r="136" spans="1:38" ht="11.1" customHeight="1" x14ac:dyDescent="0.2">
      <c r="A136" s="4" t="s">
        <v>303</v>
      </c>
      <c r="B136" s="4" t="s">
        <v>304</v>
      </c>
      <c r="C136" s="4" t="s">
        <v>1314</v>
      </c>
      <c r="D136" s="4">
        <v>5</v>
      </c>
      <c r="E136" s="5"/>
      <c r="F136" s="5"/>
      <c r="G136" s="5"/>
      <c r="H136" s="5"/>
      <c r="I136" s="5"/>
      <c r="J136" s="5"/>
      <c r="K136" s="5"/>
      <c r="L136" s="5"/>
      <c r="M136" s="5"/>
      <c r="N136" s="6">
        <v>20</v>
      </c>
      <c r="O136" s="6">
        <v>8</v>
      </c>
      <c r="P136" s="6">
        <v>4</v>
      </c>
      <c r="Q136" s="5"/>
      <c r="R136" s="6">
        <v>4</v>
      </c>
      <c r="S136" s="6">
        <v>7</v>
      </c>
      <c r="T136" s="6">
        <v>5</v>
      </c>
      <c r="U136" s="6">
        <v>3</v>
      </c>
      <c r="V136" s="6">
        <v>10</v>
      </c>
      <c r="W136" s="5"/>
      <c r="X136" s="5"/>
      <c r="Y136" s="6">
        <v>-6</v>
      </c>
      <c r="Z136" s="6">
        <v>-3</v>
      </c>
      <c r="AA136" s="6">
        <v>1</v>
      </c>
      <c r="AB136" s="6">
        <v>1</v>
      </c>
      <c r="AC136" s="5"/>
      <c r="AD136" s="5"/>
      <c r="AE136" s="6">
        <v>-8</v>
      </c>
      <c r="AF136" s="5"/>
      <c r="AG136" s="5"/>
      <c r="AH136" s="5"/>
      <c r="AI136" s="6">
        <v>4</v>
      </c>
      <c r="AJ136" s="5"/>
      <c r="AK136" s="5"/>
      <c r="AL136" s="6">
        <v>50</v>
      </c>
    </row>
    <row r="137" spans="1:38" ht="11.1" customHeight="1" x14ac:dyDescent="0.2">
      <c r="A137" s="4" t="s">
        <v>305</v>
      </c>
      <c r="B137" s="4" t="s">
        <v>306</v>
      </c>
      <c r="C137" s="4" t="s">
        <v>1315</v>
      </c>
      <c r="D137" s="4">
        <v>10</v>
      </c>
      <c r="E137" s="5"/>
      <c r="F137" s="5"/>
      <c r="G137" s="5"/>
      <c r="H137" s="5"/>
      <c r="I137" s="5"/>
      <c r="J137" s="5"/>
      <c r="K137" s="5"/>
      <c r="L137" s="6">
        <v>34</v>
      </c>
      <c r="M137" s="6">
        <v>402</v>
      </c>
      <c r="N137" s="6">
        <v>117</v>
      </c>
      <c r="O137" s="6">
        <v>236</v>
      </c>
      <c r="P137" s="6">
        <v>197</v>
      </c>
      <c r="Q137" s="6">
        <v>168</v>
      </c>
      <c r="R137" s="6">
        <v>279</v>
      </c>
      <c r="S137" s="6">
        <v>220</v>
      </c>
      <c r="T137" s="6">
        <v>271</v>
      </c>
      <c r="U137" s="6">
        <v>113</v>
      </c>
      <c r="V137" s="6">
        <v>152</v>
      </c>
      <c r="W137" s="6">
        <v>66</v>
      </c>
      <c r="X137" s="6">
        <v>39</v>
      </c>
      <c r="Y137" s="6">
        <v>136</v>
      </c>
      <c r="Z137" s="6">
        <v>163</v>
      </c>
      <c r="AA137" s="6">
        <v>138</v>
      </c>
      <c r="AB137" s="6">
        <v>32</v>
      </c>
      <c r="AC137" s="6">
        <v>22</v>
      </c>
      <c r="AD137" s="6">
        <v>25</v>
      </c>
      <c r="AE137" s="6">
        <v>-61</v>
      </c>
      <c r="AF137" s="6">
        <v>49</v>
      </c>
      <c r="AG137" s="6">
        <v>88</v>
      </c>
      <c r="AH137" s="6">
        <v>164</v>
      </c>
      <c r="AI137" s="6">
        <v>259</v>
      </c>
      <c r="AJ137" s="6">
        <v>12</v>
      </c>
      <c r="AK137" s="6">
        <v>59</v>
      </c>
      <c r="AL137" s="7">
        <v>3380</v>
      </c>
    </row>
    <row r="138" spans="1:38" ht="11.1" customHeight="1" x14ac:dyDescent="0.2">
      <c r="A138" s="4" t="s">
        <v>307</v>
      </c>
      <c r="B138" s="4" t="s">
        <v>308</v>
      </c>
      <c r="C138" s="4" t="s">
        <v>1316</v>
      </c>
      <c r="D138" s="4">
        <v>5</v>
      </c>
      <c r="E138" s="5"/>
      <c r="F138" s="5"/>
      <c r="G138" s="5"/>
      <c r="H138" s="5"/>
      <c r="I138" s="5"/>
      <c r="J138" s="5"/>
      <c r="K138" s="5"/>
      <c r="L138" s="6">
        <v>30</v>
      </c>
      <c r="M138" s="6">
        <v>204</v>
      </c>
      <c r="N138" s="6">
        <v>61</v>
      </c>
      <c r="O138" s="6">
        <v>102</v>
      </c>
      <c r="P138" s="6">
        <v>137</v>
      </c>
      <c r="Q138" s="6">
        <v>113</v>
      </c>
      <c r="R138" s="6">
        <v>180</v>
      </c>
      <c r="S138" s="6">
        <v>138</v>
      </c>
      <c r="T138" s="6">
        <v>141</v>
      </c>
      <c r="U138" s="6">
        <v>50</v>
      </c>
      <c r="V138" s="6">
        <v>90</v>
      </c>
      <c r="W138" s="6">
        <v>71</v>
      </c>
      <c r="X138" s="6">
        <v>29</v>
      </c>
      <c r="Y138" s="6">
        <v>38</v>
      </c>
      <c r="Z138" s="6">
        <v>15</v>
      </c>
      <c r="AA138" s="6">
        <v>104</v>
      </c>
      <c r="AB138" s="6">
        <v>47</v>
      </c>
      <c r="AC138" s="6">
        <v>23</v>
      </c>
      <c r="AD138" s="6">
        <v>28</v>
      </c>
      <c r="AE138" s="6">
        <v>-25</v>
      </c>
      <c r="AF138" s="6">
        <v>7</v>
      </c>
      <c r="AG138" s="6">
        <v>65</v>
      </c>
      <c r="AH138" s="6">
        <v>126</v>
      </c>
      <c r="AI138" s="6">
        <v>137</v>
      </c>
      <c r="AJ138" s="5"/>
      <c r="AK138" s="6">
        <v>55</v>
      </c>
      <c r="AL138" s="7">
        <v>1966</v>
      </c>
    </row>
    <row r="139" spans="1:38" ht="11.1" customHeight="1" x14ac:dyDescent="0.2">
      <c r="A139" s="4" t="s">
        <v>309</v>
      </c>
      <c r="B139" s="4" t="s">
        <v>310</v>
      </c>
      <c r="C139" s="4" t="s">
        <v>1317</v>
      </c>
      <c r="D139" s="4">
        <v>5</v>
      </c>
      <c r="E139" s="5"/>
      <c r="F139" s="5"/>
      <c r="G139" s="5"/>
      <c r="H139" s="5"/>
      <c r="I139" s="5"/>
      <c r="J139" s="5"/>
      <c r="K139" s="5"/>
      <c r="L139" s="6">
        <v>20</v>
      </c>
      <c r="M139" s="6">
        <v>125</v>
      </c>
      <c r="N139" s="6">
        <v>35</v>
      </c>
      <c r="O139" s="6">
        <v>67</v>
      </c>
      <c r="P139" s="6">
        <v>63</v>
      </c>
      <c r="Q139" s="6">
        <v>38</v>
      </c>
      <c r="R139" s="6">
        <v>80</v>
      </c>
      <c r="S139" s="6">
        <v>54</v>
      </c>
      <c r="T139" s="6">
        <v>57</v>
      </c>
      <c r="U139" s="6">
        <v>30</v>
      </c>
      <c r="V139" s="6">
        <v>39</v>
      </c>
      <c r="W139" s="6">
        <v>18</v>
      </c>
      <c r="X139" s="6">
        <v>11</v>
      </c>
      <c r="Y139" s="5"/>
      <c r="Z139" s="6">
        <v>29</v>
      </c>
      <c r="AA139" s="6">
        <v>41</v>
      </c>
      <c r="AB139" s="6">
        <v>13</v>
      </c>
      <c r="AC139" s="6">
        <v>9</v>
      </c>
      <c r="AD139" s="6">
        <v>5</v>
      </c>
      <c r="AE139" s="6">
        <v>-15</v>
      </c>
      <c r="AF139" s="6">
        <v>8</v>
      </c>
      <c r="AG139" s="6">
        <v>26</v>
      </c>
      <c r="AH139" s="6">
        <v>36</v>
      </c>
      <c r="AI139" s="6">
        <v>99</v>
      </c>
      <c r="AJ139" s="6">
        <v>2</v>
      </c>
      <c r="AK139" s="6">
        <v>39</v>
      </c>
      <c r="AL139" s="6">
        <v>929</v>
      </c>
    </row>
    <row r="140" spans="1:38" ht="11.1" customHeight="1" x14ac:dyDescent="0.2">
      <c r="A140" s="4" t="s">
        <v>311</v>
      </c>
      <c r="B140" s="4" t="s">
        <v>312</v>
      </c>
      <c r="C140" s="4" t="s">
        <v>1318</v>
      </c>
      <c r="D140" s="4">
        <v>5</v>
      </c>
      <c r="E140" s="5"/>
      <c r="F140" s="5"/>
      <c r="G140" s="5"/>
      <c r="H140" s="5"/>
      <c r="I140" s="5"/>
      <c r="J140" s="5"/>
      <c r="K140" s="5"/>
      <c r="L140" s="6">
        <v>10</v>
      </c>
      <c r="M140" s="6">
        <v>66</v>
      </c>
      <c r="N140" s="6">
        <v>16</v>
      </c>
      <c r="O140" s="6">
        <v>15</v>
      </c>
      <c r="P140" s="6">
        <v>32</v>
      </c>
      <c r="Q140" s="6">
        <v>9</v>
      </c>
      <c r="R140" s="6">
        <v>40</v>
      </c>
      <c r="S140" s="6">
        <v>13</v>
      </c>
      <c r="T140" s="6">
        <v>12</v>
      </c>
      <c r="U140" s="6">
        <v>2</v>
      </c>
      <c r="V140" s="6">
        <v>23</v>
      </c>
      <c r="W140" s="6">
        <v>14</v>
      </c>
      <c r="X140" s="6">
        <v>-3</v>
      </c>
      <c r="Y140" s="6">
        <v>3</v>
      </c>
      <c r="Z140" s="6">
        <v>4</v>
      </c>
      <c r="AA140" s="6">
        <v>22</v>
      </c>
      <c r="AB140" s="6">
        <v>14</v>
      </c>
      <c r="AC140" s="6">
        <v>5</v>
      </c>
      <c r="AD140" s="6">
        <v>2</v>
      </c>
      <c r="AE140" s="6">
        <v>-8</v>
      </c>
      <c r="AF140" s="5"/>
      <c r="AG140" s="6">
        <v>9</v>
      </c>
      <c r="AH140" s="6">
        <v>11</v>
      </c>
      <c r="AI140" s="6">
        <v>34</v>
      </c>
      <c r="AJ140" s="5"/>
      <c r="AK140" s="6">
        <v>18</v>
      </c>
      <c r="AL140" s="6">
        <v>363</v>
      </c>
    </row>
    <row r="141" spans="1:38" ht="11.1" customHeight="1" x14ac:dyDescent="0.2">
      <c r="A141" s="4" t="s">
        <v>313</v>
      </c>
      <c r="B141" s="4" t="s">
        <v>314</v>
      </c>
      <c r="C141" s="4" t="s">
        <v>1319</v>
      </c>
      <c r="D141" s="4">
        <v>5</v>
      </c>
      <c r="E141" s="5"/>
      <c r="F141" s="5"/>
      <c r="G141" s="5"/>
      <c r="H141" s="5"/>
      <c r="I141" s="5"/>
      <c r="J141" s="5"/>
      <c r="K141" s="5"/>
      <c r="L141" s="6">
        <v>10</v>
      </c>
      <c r="M141" s="6">
        <v>35</v>
      </c>
      <c r="N141" s="6">
        <v>10</v>
      </c>
      <c r="O141" s="6">
        <v>21</v>
      </c>
      <c r="P141" s="6">
        <v>7</v>
      </c>
      <c r="Q141" s="6">
        <v>5</v>
      </c>
      <c r="R141" s="6">
        <v>12</v>
      </c>
      <c r="S141" s="6">
        <v>-8</v>
      </c>
      <c r="T141" s="5"/>
      <c r="U141" s="6">
        <v>2</v>
      </c>
      <c r="V141" s="6">
        <v>10</v>
      </c>
      <c r="W141" s="6">
        <v>1</v>
      </c>
      <c r="X141" s="6">
        <v>-5</v>
      </c>
      <c r="Y141" s="6">
        <v>-10</v>
      </c>
      <c r="Z141" s="6">
        <v>-3</v>
      </c>
      <c r="AA141" s="6">
        <v>1</v>
      </c>
      <c r="AB141" s="6">
        <v>1</v>
      </c>
      <c r="AC141" s="6">
        <v>2</v>
      </c>
      <c r="AD141" s="6">
        <v>2</v>
      </c>
      <c r="AE141" s="6">
        <v>-10</v>
      </c>
      <c r="AF141" s="5"/>
      <c r="AG141" s="5"/>
      <c r="AH141" s="5"/>
      <c r="AI141" s="6">
        <v>11</v>
      </c>
      <c r="AJ141" s="5"/>
      <c r="AK141" s="6">
        <v>2</v>
      </c>
      <c r="AL141" s="6">
        <v>96</v>
      </c>
    </row>
    <row r="142" spans="1:38" ht="11.1" customHeight="1" x14ac:dyDescent="0.2">
      <c r="A142" s="4" t="s">
        <v>315</v>
      </c>
      <c r="B142" s="4" t="s">
        <v>316</v>
      </c>
      <c r="C142" s="4" t="s">
        <v>1320</v>
      </c>
      <c r="D142" s="4">
        <v>5</v>
      </c>
      <c r="E142" s="5"/>
      <c r="F142" s="5"/>
      <c r="G142" s="5"/>
      <c r="H142" s="5"/>
      <c r="I142" s="5"/>
      <c r="J142" s="5"/>
      <c r="K142" s="5"/>
      <c r="L142" s="6">
        <v>5</v>
      </c>
      <c r="M142" s="6">
        <v>71</v>
      </c>
      <c r="N142" s="6">
        <v>69</v>
      </c>
      <c r="O142" s="6">
        <v>4</v>
      </c>
      <c r="P142" s="6">
        <v>45</v>
      </c>
      <c r="Q142" s="6">
        <v>26</v>
      </c>
      <c r="R142" s="6">
        <v>47</v>
      </c>
      <c r="S142" s="6">
        <v>13</v>
      </c>
      <c r="T142" s="6">
        <v>24</v>
      </c>
      <c r="U142" s="6">
        <v>7</v>
      </c>
      <c r="V142" s="6">
        <v>110</v>
      </c>
      <c r="W142" s="6">
        <v>9</v>
      </c>
      <c r="X142" s="6">
        <v>9</v>
      </c>
      <c r="Y142" s="6">
        <v>1</v>
      </c>
      <c r="Z142" s="6">
        <v>22</v>
      </c>
      <c r="AA142" s="6">
        <v>19</v>
      </c>
      <c r="AB142" s="6">
        <v>20</v>
      </c>
      <c r="AC142" s="6">
        <v>2</v>
      </c>
      <c r="AD142" s="6">
        <v>4</v>
      </c>
      <c r="AE142" s="6">
        <v>-8</v>
      </c>
      <c r="AF142" s="6">
        <v>2</v>
      </c>
      <c r="AG142" s="6">
        <v>10</v>
      </c>
      <c r="AH142" s="6">
        <v>15</v>
      </c>
      <c r="AI142" s="6">
        <v>54</v>
      </c>
      <c r="AJ142" s="6">
        <v>3</v>
      </c>
      <c r="AK142" s="6">
        <v>11</v>
      </c>
      <c r="AL142" s="6">
        <v>594</v>
      </c>
    </row>
    <row r="143" spans="1:38" ht="23.1" customHeight="1" x14ac:dyDescent="0.2">
      <c r="A143" s="4" t="s">
        <v>317</v>
      </c>
      <c r="B143" s="4" t="s">
        <v>318</v>
      </c>
      <c r="C143" s="4" t="s">
        <v>1321</v>
      </c>
      <c r="D143" s="4">
        <v>1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6">
        <v>1</v>
      </c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6">
        <v>1</v>
      </c>
    </row>
    <row r="144" spans="1:38" ht="23.1" customHeight="1" x14ac:dyDescent="0.2">
      <c r="A144" s="4" t="s">
        <v>319</v>
      </c>
      <c r="B144" s="4" t="s">
        <v>320</v>
      </c>
      <c r="C144" s="4" t="s">
        <v>1322</v>
      </c>
      <c r="D144" s="4">
        <v>5</v>
      </c>
      <c r="E144" s="5"/>
      <c r="F144" s="5"/>
      <c r="G144" s="5"/>
      <c r="H144" s="5"/>
      <c r="I144" s="5"/>
      <c r="J144" s="5"/>
      <c r="K144" s="5"/>
      <c r="L144" s="5"/>
      <c r="M144" s="6">
        <v>32</v>
      </c>
      <c r="N144" s="6">
        <v>4</v>
      </c>
      <c r="O144" s="6">
        <v>4</v>
      </c>
      <c r="P144" s="6">
        <v>26</v>
      </c>
      <c r="Q144" s="5"/>
      <c r="R144" s="6">
        <v>7</v>
      </c>
      <c r="S144" s="6">
        <v>6</v>
      </c>
      <c r="T144" s="6">
        <v>1</v>
      </c>
      <c r="U144" s="6">
        <v>5</v>
      </c>
      <c r="V144" s="6">
        <v>9</v>
      </c>
      <c r="W144" s="5"/>
      <c r="X144" s="6">
        <v>10</v>
      </c>
      <c r="Y144" s="6">
        <v>2</v>
      </c>
      <c r="Z144" s="6">
        <v>2</v>
      </c>
      <c r="AA144" s="6">
        <v>4</v>
      </c>
      <c r="AB144" s="5"/>
      <c r="AC144" s="5"/>
      <c r="AD144" s="5"/>
      <c r="AE144" s="5"/>
      <c r="AF144" s="6">
        <v>1</v>
      </c>
      <c r="AG144" s="6">
        <v>10</v>
      </c>
      <c r="AH144" s="5"/>
      <c r="AI144" s="6">
        <v>13</v>
      </c>
      <c r="AJ144" s="6">
        <v>4</v>
      </c>
      <c r="AK144" s="5"/>
      <c r="AL144" s="6">
        <v>140</v>
      </c>
    </row>
    <row r="145" spans="1:38" ht="11.1" customHeight="1" x14ac:dyDescent="0.2">
      <c r="A145" s="4" t="s">
        <v>321</v>
      </c>
      <c r="B145" s="4" t="s">
        <v>322</v>
      </c>
      <c r="C145" s="4" t="s">
        <v>1323</v>
      </c>
      <c r="D145" s="4">
        <v>5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6">
        <v>3</v>
      </c>
      <c r="Q145" s="5"/>
      <c r="R145" s="6">
        <v>1</v>
      </c>
      <c r="S145" s="5"/>
      <c r="T145" s="6">
        <v>1</v>
      </c>
      <c r="U145" s="6">
        <v>6</v>
      </c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6">
        <v>3</v>
      </c>
      <c r="AJ145" s="5"/>
      <c r="AK145" s="6">
        <v>4</v>
      </c>
      <c r="AL145" s="6">
        <v>18</v>
      </c>
    </row>
    <row r="146" spans="1:38" ht="11.1" customHeight="1" x14ac:dyDescent="0.2">
      <c r="A146" s="4" t="s">
        <v>323</v>
      </c>
      <c r="B146" s="4" t="s">
        <v>324</v>
      </c>
      <c r="C146" s="4" t="s">
        <v>1324</v>
      </c>
      <c r="D146" s="4">
        <v>5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6">
        <v>1</v>
      </c>
      <c r="Z146" s="5"/>
      <c r="AA146" s="5"/>
      <c r="AB146" s="5"/>
      <c r="AC146" s="5"/>
      <c r="AD146" s="5"/>
      <c r="AE146" s="5"/>
      <c r="AF146" s="5"/>
      <c r="AG146" s="5"/>
      <c r="AH146" s="5"/>
      <c r="AI146" s="6">
        <v>1</v>
      </c>
      <c r="AJ146" s="6">
        <v>1</v>
      </c>
      <c r="AK146" s="5"/>
      <c r="AL146" s="6">
        <v>3</v>
      </c>
    </row>
    <row r="147" spans="1:38" ht="11.1" customHeight="1" x14ac:dyDescent="0.2">
      <c r="A147" s="4" t="s">
        <v>325</v>
      </c>
      <c r="B147" s="4" t="s">
        <v>326</v>
      </c>
      <c r="C147" s="4" t="s">
        <v>1325</v>
      </c>
      <c r="D147" s="4">
        <v>5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>
        <v>5</v>
      </c>
      <c r="R147" s="5"/>
      <c r="S147" s="5"/>
      <c r="T147" s="5"/>
      <c r="U147" s="5"/>
      <c r="V147" s="6">
        <v>8</v>
      </c>
      <c r="W147" s="5"/>
      <c r="X147" s="6">
        <v>1</v>
      </c>
      <c r="Y147" s="6">
        <v>22</v>
      </c>
      <c r="Z147" s="5"/>
      <c r="AA147" s="5"/>
      <c r="AB147" s="5"/>
      <c r="AC147" s="5"/>
      <c r="AD147" s="5"/>
      <c r="AE147" s="6">
        <v>1</v>
      </c>
      <c r="AF147" s="5"/>
      <c r="AG147" s="5"/>
      <c r="AH147" s="5"/>
      <c r="AI147" s="6">
        <v>2</v>
      </c>
      <c r="AJ147" s="5"/>
      <c r="AK147" s="5"/>
      <c r="AL147" s="6">
        <v>39</v>
      </c>
    </row>
    <row r="148" spans="1:38" ht="11.1" customHeight="1" x14ac:dyDescent="0.2">
      <c r="A148" s="4" t="s">
        <v>327</v>
      </c>
      <c r="B148" s="4" t="s">
        <v>328</v>
      </c>
      <c r="C148" s="4" t="s">
        <v>1326</v>
      </c>
      <c r="D148" s="4">
        <v>5</v>
      </c>
      <c r="E148" s="5"/>
      <c r="F148" s="5"/>
      <c r="G148" s="5"/>
      <c r="H148" s="5"/>
      <c r="I148" s="5"/>
      <c r="J148" s="5"/>
      <c r="K148" s="5"/>
      <c r="L148" s="6">
        <v>5</v>
      </c>
      <c r="M148" s="6">
        <v>30</v>
      </c>
      <c r="N148" s="6">
        <v>11</v>
      </c>
      <c r="O148" s="6">
        <v>10</v>
      </c>
      <c r="P148" s="6">
        <v>9</v>
      </c>
      <c r="Q148" s="6">
        <v>3</v>
      </c>
      <c r="R148" s="6">
        <v>6</v>
      </c>
      <c r="S148" s="6">
        <v>2</v>
      </c>
      <c r="T148" s="6">
        <v>2</v>
      </c>
      <c r="U148" s="6">
        <v>1</v>
      </c>
      <c r="V148" s="6">
        <v>5</v>
      </c>
      <c r="W148" s="6">
        <v>2</v>
      </c>
      <c r="X148" s="6">
        <v>3</v>
      </c>
      <c r="Y148" s="6">
        <v>-5</v>
      </c>
      <c r="Z148" s="6">
        <v>4</v>
      </c>
      <c r="AA148" s="6">
        <v>3</v>
      </c>
      <c r="AB148" s="6">
        <v>3</v>
      </c>
      <c r="AC148" s="5"/>
      <c r="AD148" s="6">
        <v>2</v>
      </c>
      <c r="AE148" s="5"/>
      <c r="AF148" s="5"/>
      <c r="AG148" s="5"/>
      <c r="AH148" s="6">
        <v>2</v>
      </c>
      <c r="AI148" s="6">
        <v>14</v>
      </c>
      <c r="AJ148" s="6">
        <v>4</v>
      </c>
      <c r="AK148" s="5"/>
      <c r="AL148" s="6">
        <v>116</v>
      </c>
    </row>
    <row r="149" spans="1:38" ht="11.1" customHeight="1" x14ac:dyDescent="0.2">
      <c r="A149" s="4" t="s">
        <v>329</v>
      </c>
      <c r="B149" s="4" t="s">
        <v>330</v>
      </c>
      <c r="C149" s="4" t="s">
        <v>1327</v>
      </c>
      <c r="D149" s="4">
        <v>5</v>
      </c>
      <c r="E149" s="5"/>
      <c r="F149" s="5"/>
      <c r="G149" s="5"/>
      <c r="H149" s="5"/>
      <c r="I149" s="5"/>
      <c r="J149" s="5"/>
      <c r="K149" s="5"/>
      <c r="L149" s="5"/>
      <c r="M149" s="6">
        <v>4</v>
      </c>
      <c r="N149" s="6">
        <v>19</v>
      </c>
      <c r="O149" s="6">
        <v>15</v>
      </c>
      <c r="P149" s="5"/>
      <c r="Q149" s="5"/>
      <c r="R149" s="6">
        <v>10</v>
      </c>
      <c r="S149" s="6">
        <v>-5</v>
      </c>
      <c r="T149" s="6">
        <v>2</v>
      </c>
      <c r="U149" s="5"/>
      <c r="V149" s="5"/>
      <c r="W149" s="5"/>
      <c r="X149" s="5"/>
      <c r="Y149" s="6">
        <v>-2</v>
      </c>
      <c r="Z149" s="6">
        <v>-5</v>
      </c>
      <c r="AA149" s="5"/>
      <c r="AB149" s="5"/>
      <c r="AC149" s="6">
        <v>3</v>
      </c>
      <c r="AD149" s="5"/>
      <c r="AE149" s="6">
        <v>-10</v>
      </c>
      <c r="AF149" s="5"/>
      <c r="AG149" s="5"/>
      <c r="AH149" s="5"/>
      <c r="AI149" s="5"/>
      <c r="AJ149" s="5"/>
      <c r="AK149" s="5"/>
      <c r="AL149" s="6">
        <v>31</v>
      </c>
    </row>
    <row r="150" spans="1:38" ht="23.1" customHeight="1" x14ac:dyDescent="0.2">
      <c r="A150" s="4" t="s">
        <v>331</v>
      </c>
      <c r="B150" s="4" t="s">
        <v>332</v>
      </c>
      <c r="C150" s="4" t="s">
        <v>1328</v>
      </c>
      <c r="D150" s="4">
        <v>1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6">
        <v>3</v>
      </c>
      <c r="P150" s="5"/>
      <c r="Q150" s="6">
        <v>2</v>
      </c>
      <c r="R150" s="6">
        <v>7</v>
      </c>
      <c r="S150" s="5"/>
      <c r="T150" s="5"/>
      <c r="U150" s="6">
        <v>7</v>
      </c>
      <c r="V150" s="6">
        <v>2</v>
      </c>
      <c r="W150" s="6">
        <v>1</v>
      </c>
      <c r="X150" s="6">
        <v>3</v>
      </c>
      <c r="Y150" s="5"/>
      <c r="Z150" s="6">
        <v>2</v>
      </c>
      <c r="AA150" s="5"/>
      <c r="AB150" s="6">
        <v>1</v>
      </c>
      <c r="AC150" s="5"/>
      <c r="AD150" s="5"/>
      <c r="AE150" s="5"/>
      <c r="AF150" s="5"/>
      <c r="AG150" s="5"/>
      <c r="AH150" s="5"/>
      <c r="AI150" s="6">
        <v>3</v>
      </c>
      <c r="AJ150" s="5"/>
      <c r="AK150" s="6">
        <v>3</v>
      </c>
      <c r="AL150" s="6">
        <v>34</v>
      </c>
    </row>
    <row r="151" spans="1:38" ht="11.1" customHeight="1" x14ac:dyDescent="0.2">
      <c r="A151" s="4" t="s">
        <v>333</v>
      </c>
      <c r="B151" s="4" t="s">
        <v>334</v>
      </c>
      <c r="C151" s="4" t="s">
        <v>1329</v>
      </c>
      <c r="D151" s="4">
        <v>10</v>
      </c>
      <c r="E151" s="5"/>
      <c r="F151" s="5"/>
      <c r="G151" s="5"/>
      <c r="H151" s="5"/>
      <c r="I151" s="5"/>
      <c r="J151" s="5"/>
      <c r="K151" s="5"/>
      <c r="L151" s="6">
        <v>14</v>
      </c>
      <c r="M151" s="6">
        <v>21</v>
      </c>
      <c r="N151" s="6">
        <v>33</v>
      </c>
      <c r="O151" s="6">
        <v>35</v>
      </c>
      <c r="P151" s="5"/>
      <c r="Q151" s="6">
        <v>13</v>
      </c>
      <c r="R151" s="6">
        <v>16</v>
      </c>
      <c r="S151" s="6">
        <v>4</v>
      </c>
      <c r="T151" s="6">
        <v>36</v>
      </c>
      <c r="U151" s="6">
        <v>29</v>
      </c>
      <c r="V151" s="5"/>
      <c r="W151" s="5"/>
      <c r="X151" s="5"/>
      <c r="Y151" s="6">
        <v>-10</v>
      </c>
      <c r="Z151" s="5"/>
      <c r="AA151" s="5"/>
      <c r="AB151" s="6">
        <v>1</v>
      </c>
      <c r="AC151" s="5"/>
      <c r="AD151" s="5"/>
      <c r="AE151" s="6">
        <v>1</v>
      </c>
      <c r="AF151" s="5"/>
      <c r="AG151" s="5"/>
      <c r="AH151" s="5"/>
      <c r="AI151" s="6">
        <v>4</v>
      </c>
      <c r="AJ151" s="6">
        <v>38</v>
      </c>
      <c r="AK151" s="5"/>
      <c r="AL151" s="6">
        <v>235</v>
      </c>
    </row>
    <row r="152" spans="1:38" ht="11.1" customHeight="1" x14ac:dyDescent="0.2">
      <c r="A152" s="4" t="s">
        <v>335</v>
      </c>
      <c r="B152" s="4" t="s">
        <v>336</v>
      </c>
      <c r="C152" s="4" t="s">
        <v>1330</v>
      </c>
      <c r="D152" s="4">
        <v>5</v>
      </c>
      <c r="E152" s="5"/>
      <c r="F152" s="5"/>
      <c r="G152" s="5"/>
      <c r="H152" s="5"/>
      <c r="I152" s="5"/>
      <c r="J152" s="5"/>
      <c r="K152" s="5"/>
      <c r="L152" s="6">
        <v>10</v>
      </c>
      <c r="M152" s="6">
        <v>21</v>
      </c>
      <c r="N152" s="6">
        <v>26</v>
      </c>
      <c r="O152" s="6">
        <v>3</v>
      </c>
      <c r="P152" s="5"/>
      <c r="Q152" s="6">
        <v>4</v>
      </c>
      <c r="R152" s="6">
        <v>4</v>
      </c>
      <c r="S152" s="5"/>
      <c r="T152" s="6">
        <v>4</v>
      </c>
      <c r="U152" s="6">
        <v>34</v>
      </c>
      <c r="V152" s="6">
        <v>3</v>
      </c>
      <c r="W152" s="5"/>
      <c r="X152" s="5"/>
      <c r="Y152" s="6">
        <v>-10</v>
      </c>
      <c r="Z152" s="6">
        <v>2</v>
      </c>
      <c r="AA152" s="5"/>
      <c r="AB152" s="5"/>
      <c r="AC152" s="5"/>
      <c r="AD152" s="5"/>
      <c r="AE152" s="5"/>
      <c r="AF152" s="5"/>
      <c r="AG152" s="5"/>
      <c r="AH152" s="5"/>
      <c r="AI152" s="5"/>
      <c r="AJ152" s="6">
        <v>14</v>
      </c>
      <c r="AK152" s="5"/>
      <c r="AL152" s="6">
        <v>115</v>
      </c>
    </row>
    <row r="153" spans="1:38" ht="11.1" customHeight="1" x14ac:dyDescent="0.2">
      <c r="A153" s="4" t="s">
        <v>337</v>
      </c>
      <c r="B153" s="4" t="s">
        <v>338</v>
      </c>
      <c r="C153" s="4" t="s">
        <v>1331</v>
      </c>
      <c r="D153" s="4">
        <v>5</v>
      </c>
      <c r="E153" s="5"/>
      <c r="F153" s="5"/>
      <c r="G153" s="5"/>
      <c r="H153" s="5"/>
      <c r="I153" s="5"/>
      <c r="J153" s="5"/>
      <c r="K153" s="5"/>
      <c r="L153" s="6">
        <v>10</v>
      </c>
      <c r="M153" s="5"/>
      <c r="N153" s="6">
        <v>9</v>
      </c>
      <c r="O153" s="5"/>
      <c r="P153" s="5"/>
      <c r="Q153" s="6">
        <v>3</v>
      </c>
      <c r="R153" s="6">
        <v>2</v>
      </c>
      <c r="S153" s="5"/>
      <c r="T153" s="6">
        <v>10</v>
      </c>
      <c r="U153" s="6">
        <v>3</v>
      </c>
      <c r="V153" s="5"/>
      <c r="W153" s="5"/>
      <c r="X153" s="5"/>
      <c r="Y153" s="6">
        <v>-10</v>
      </c>
      <c r="Z153" s="5"/>
      <c r="AA153" s="5"/>
      <c r="AB153" s="5"/>
      <c r="AC153" s="5"/>
      <c r="AD153" s="5"/>
      <c r="AE153" s="5"/>
      <c r="AF153" s="5"/>
      <c r="AG153" s="5"/>
      <c r="AH153" s="5"/>
      <c r="AI153" s="6">
        <v>1</v>
      </c>
      <c r="AJ153" s="6">
        <v>3</v>
      </c>
      <c r="AK153" s="5"/>
      <c r="AL153" s="6">
        <v>31</v>
      </c>
    </row>
    <row r="154" spans="1:38" ht="11.1" customHeight="1" x14ac:dyDescent="0.2">
      <c r="A154" s="4" t="s">
        <v>339</v>
      </c>
      <c r="B154" s="4" t="s">
        <v>340</v>
      </c>
      <c r="C154" s="4" t="s">
        <v>1332</v>
      </c>
      <c r="D154" s="4">
        <v>5</v>
      </c>
      <c r="E154" s="5"/>
      <c r="F154" s="5"/>
      <c r="G154" s="5"/>
      <c r="H154" s="5"/>
      <c r="I154" s="5"/>
      <c r="J154" s="5"/>
      <c r="K154" s="5"/>
      <c r="L154" s="6">
        <v>10</v>
      </c>
      <c r="M154" s="6">
        <v>2</v>
      </c>
      <c r="N154" s="6">
        <v>10</v>
      </c>
      <c r="O154" s="5"/>
      <c r="P154" s="5"/>
      <c r="Q154" s="5"/>
      <c r="R154" s="5"/>
      <c r="S154" s="5"/>
      <c r="T154" s="6">
        <v>2</v>
      </c>
      <c r="U154" s="6">
        <v>3</v>
      </c>
      <c r="V154" s="5"/>
      <c r="W154" s="5"/>
      <c r="X154" s="5"/>
      <c r="Y154" s="6">
        <v>-10</v>
      </c>
      <c r="Z154" s="5"/>
      <c r="AA154" s="5"/>
      <c r="AB154" s="5"/>
      <c r="AC154" s="5"/>
      <c r="AD154" s="5"/>
      <c r="AE154" s="5"/>
      <c r="AF154" s="5"/>
      <c r="AG154" s="5"/>
      <c r="AH154" s="5"/>
      <c r="AI154" s="6">
        <v>1</v>
      </c>
      <c r="AJ154" s="5"/>
      <c r="AK154" s="5"/>
      <c r="AL154" s="6">
        <v>18</v>
      </c>
    </row>
    <row r="155" spans="1:38" ht="11.1" customHeight="1" x14ac:dyDescent="0.2">
      <c r="A155" s="4" t="s">
        <v>341</v>
      </c>
      <c r="B155" s="4" t="s">
        <v>342</v>
      </c>
      <c r="C155" s="4" t="s">
        <v>1333</v>
      </c>
      <c r="D155" s="4">
        <v>5</v>
      </c>
      <c r="E155" s="5"/>
      <c r="F155" s="5"/>
      <c r="G155" s="5"/>
      <c r="H155" s="5"/>
      <c r="I155" s="5"/>
      <c r="J155" s="5"/>
      <c r="K155" s="5"/>
      <c r="L155" s="6">
        <v>10</v>
      </c>
      <c r="M155" s="5"/>
      <c r="N155" s="5"/>
      <c r="O155" s="5"/>
      <c r="P155" s="5"/>
      <c r="Q155" s="5"/>
      <c r="R155" s="5"/>
      <c r="S155" s="5"/>
      <c r="T155" s="6">
        <v>1</v>
      </c>
      <c r="U155" s="6">
        <v>1</v>
      </c>
      <c r="V155" s="5"/>
      <c r="W155" s="5"/>
      <c r="X155" s="5"/>
      <c r="Y155" s="6">
        <v>-10</v>
      </c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6">
        <v>2</v>
      </c>
    </row>
    <row r="156" spans="1:38" ht="11.1" customHeight="1" x14ac:dyDescent="0.2">
      <c r="A156" s="4" t="s">
        <v>343</v>
      </c>
      <c r="B156" s="4" t="s">
        <v>344</v>
      </c>
      <c r="C156" s="4" t="s">
        <v>1334</v>
      </c>
      <c r="D156" s="4">
        <v>5</v>
      </c>
      <c r="E156" s="5"/>
      <c r="F156" s="5"/>
      <c r="G156" s="5"/>
      <c r="H156" s="5"/>
      <c r="I156" s="5"/>
      <c r="J156" s="5"/>
      <c r="K156" s="5"/>
      <c r="L156" s="6">
        <v>4</v>
      </c>
      <c r="M156" s="6">
        <v>87</v>
      </c>
      <c r="N156" s="6">
        <v>35</v>
      </c>
      <c r="O156" s="6">
        <v>62</v>
      </c>
      <c r="P156" s="6">
        <v>27</v>
      </c>
      <c r="Q156" s="6">
        <v>35</v>
      </c>
      <c r="R156" s="6">
        <v>19</v>
      </c>
      <c r="S156" s="6">
        <v>10</v>
      </c>
      <c r="T156" s="6">
        <v>3</v>
      </c>
      <c r="U156" s="5"/>
      <c r="V156" s="6">
        <v>105</v>
      </c>
      <c r="W156" s="6">
        <v>2</v>
      </c>
      <c r="X156" s="6">
        <v>122</v>
      </c>
      <c r="Y156" s="5"/>
      <c r="Z156" s="6">
        <v>69</v>
      </c>
      <c r="AA156" s="6">
        <v>84</v>
      </c>
      <c r="AB156" s="6">
        <v>33</v>
      </c>
      <c r="AC156" s="6">
        <v>77</v>
      </c>
      <c r="AD156" s="6">
        <v>39</v>
      </c>
      <c r="AE156" s="6">
        <v>34</v>
      </c>
      <c r="AF156" s="5"/>
      <c r="AG156" s="6">
        <v>64</v>
      </c>
      <c r="AH156" s="6">
        <v>50</v>
      </c>
      <c r="AI156" s="6">
        <v>68</v>
      </c>
      <c r="AJ156" s="6">
        <v>1</v>
      </c>
      <c r="AK156" s="5"/>
      <c r="AL156" s="7">
        <v>1030</v>
      </c>
    </row>
    <row r="157" spans="1:38" ht="11.1" customHeight="1" x14ac:dyDescent="0.2">
      <c r="A157" s="4" t="s">
        <v>345</v>
      </c>
      <c r="B157" s="4" t="s">
        <v>346</v>
      </c>
      <c r="C157" s="4" t="s">
        <v>1335</v>
      </c>
      <c r="D157" s="4">
        <v>5</v>
      </c>
      <c r="E157" s="5"/>
      <c r="F157" s="5"/>
      <c r="G157" s="5"/>
      <c r="H157" s="5"/>
      <c r="I157" s="5"/>
      <c r="J157" s="5"/>
      <c r="K157" s="5"/>
      <c r="L157" s="5"/>
      <c r="M157" s="5"/>
      <c r="N157" s="6">
        <v>16</v>
      </c>
      <c r="O157" s="6">
        <v>23</v>
      </c>
      <c r="P157" s="6">
        <v>7</v>
      </c>
      <c r="Q157" s="6">
        <v>10</v>
      </c>
      <c r="R157" s="6">
        <v>24</v>
      </c>
      <c r="S157" s="6">
        <v>1</v>
      </c>
      <c r="T157" s="5"/>
      <c r="U157" s="5"/>
      <c r="V157" s="6">
        <v>10</v>
      </c>
      <c r="W157" s="5"/>
      <c r="X157" s="6">
        <v>1</v>
      </c>
      <c r="Y157" s="5"/>
      <c r="Z157" s="6">
        <v>12</v>
      </c>
      <c r="AA157" s="6">
        <v>20</v>
      </c>
      <c r="AB157" s="6">
        <v>4</v>
      </c>
      <c r="AC157" s="6">
        <v>7</v>
      </c>
      <c r="AD157" s="6">
        <v>9</v>
      </c>
      <c r="AE157" s="6">
        <v>28</v>
      </c>
      <c r="AF157" s="6">
        <v>2</v>
      </c>
      <c r="AG157" s="6">
        <v>10</v>
      </c>
      <c r="AH157" s="6">
        <v>10</v>
      </c>
      <c r="AI157" s="6">
        <v>4</v>
      </c>
      <c r="AJ157" s="5"/>
      <c r="AK157" s="6">
        <v>20</v>
      </c>
      <c r="AL157" s="6">
        <v>218</v>
      </c>
    </row>
    <row r="158" spans="1:38" ht="11.1" customHeight="1" x14ac:dyDescent="0.2">
      <c r="A158" s="4" t="s">
        <v>347</v>
      </c>
      <c r="B158" s="4" t="s">
        <v>348</v>
      </c>
      <c r="C158" s="4" t="s">
        <v>1336</v>
      </c>
      <c r="D158" s="4">
        <v>5</v>
      </c>
      <c r="E158" s="5"/>
      <c r="F158" s="5"/>
      <c r="G158" s="5"/>
      <c r="H158" s="5"/>
      <c r="I158" s="5"/>
      <c r="J158" s="5"/>
      <c r="K158" s="5"/>
      <c r="L158" s="5"/>
      <c r="M158" s="6">
        <v>5</v>
      </c>
      <c r="N158" s="6">
        <v>1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6">
        <v>1</v>
      </c>
      <c r="AC158" s="5"/>
      <c r="AD158" s="5"/>
      <c r="AE158" s="5"/>
      <c r="AF158" s="5"/>
      <c r="AG158" s="5"/>
      <c r="AH158" s="5"/>
      <c r="AI158" s="5"/>
      <c r="AJ158" s="5"/>
      <c r="AK158" s="5"/>
      <c r="AL158" s="6">
        <v>7</v>
      </c>
    </row>
    <row r="159" spans="1:38" ht="11.1" customHeight="1" x14ac:dyDescent="0.2">
      <c r="A159" s="4" t="s">
        <v>349</v>
      </c>
      <c r="B159" s="4" t="s">
        <v>350</v>
      </c>
      <c r="C159" s="4" t="s">
        <v>1337</v>
      </c>
      <c r="D159" s="4">
        <v>5</v>
      </c>
      <c r="E159" s="5"/>
      <c r="F159" s="5"/>
      <c r="G159" s="5"/>
      <c r="H159" s="5"/>
      <c r="I159" s="5"/>
      <c r="J159" s="5"/>
      <c r="K159" s="5"/>
      <c r="L159" s="5"/>
      <c r="M159" s="6">
        <v>24</v>
      </c>
      <c r="N159" s="6">
        <v>20</v>
      </c>
      <c r="O159" s="6">
        <v>24</v>
      </c>
      <c r="P159" s="6">
        <v>7</v>
      </c>
      <c r="Q159" s="6">
        <v>2</v>
      </c>
      <c r="R159" s="6">
        <v>4</v>
      </c>
      <c r="S159" s="5"/>
      <c r="T159" s="5"/>
      <c r="U159" s="6">
        <v>1</v>
      </c>
      <c r="V159" s="6">
        <v>6</v>
      </c>
      <c r="W159" s="5"/>
      <c r="X159" s="5"/>
      <c r="Y159" s="5"/>
      <c r="Z159" s="6">
        <v>10</v>
      </c>
      <c r="AA159" s="6">
        <v>10</v>
      </c>
      <c r="AB159" s="6">
        <v>6</v>
      </c>
      <c r="AC159" s="6">
        <v>9</v>
      </c>
      <c r="AD159" s="6">
        <v>8</v>
      </c>
      <c r="AE159" s="6">
        <v>11</v>
      </c>
      <c r="AF159" s="5"/>
      <c r="AG159" s="6">
        <v>8</v>
      </c>
      <c r="AH159" s="6">
        <v>4</v>
      </c>
      <c r="AI159" s="6">
        <v>2</v>
      </c>
      <c r="AJ159" s="5"/>
      <c r="AK159" s="6">
        <v>24</v>
      </c>
      <c r="AL159" s="6">
        <v>180</v>
      </c>
    </row>
    <row r="160" spans="1:38" ht="11.1" customHeight="1" x14ac:dyDescent="0.2">
      <c r="A160" s="4" t="s">
        <v>351</v>
      </c>
      <c r="B160" s="4" t="s">
        <v>352</v>
      </c>
      <c r="C160" s="4" t="s">
        <v>1338</v>
      </c>
      <c r="D160" s="4">
        <v>5</v>
      </c>
      <c r="E160" s="5"/>
      <c r="F160" s="5"/>
      <c r="G160" s="5"/>
      <c r="H160" s="5"/>
      <c r="I160" s="5"/>
      <c r="J160" s="5"/>
      <c r="K160" s="5"/>
      <c r="L160" s="5"/>
      <c r="M160" s="6">
        <v>10</v>
      </c>
      <c r="N160" s="6">
        <v>10</v>
      </c>
      <c r="O160" s="6">
        <v>8</v>
      </c>
      <c r="P160" s="5"/>
      <c r="Q160" s="6">
        <v>3</v>
      </c>
      <c r="R160" s="5"/>
      <c r="S160" s="5"/>
      <c r="T160" s="5"/>
      <c r="U160" s="5"/>
      <c r="V160" s="6">
        <v>8</v>
      </c>
      <c r="W160" s="5"/>
      <c r="X160" s="6">
        <v>7</v>
      </c>
      <c r="Y160" s="5"/>
      <c r="Z160" s="6">
        <v>4</v>
      </c>
      <c r="AA160" s="6">
        <v>2</v>
      </c>
      <c r="AB160" s="6">
        <v>1</v>
      </c>
      <c r="AC160" s="6">
        <v>4</v>
      </c>
      <c r="AD160" s="6">
        <v>2</v>
      </c>
      <c r="AE160" s="6">
        <v>2</v>
      </c>
      <c r="AF160" s="5"/>
      <c r="AG160" s="5"/>
      <c r="AH160" s="6">
        <v>2</v>
      </c>
      <c r="AI160" s="5"/>
      <c r="AJ160" s="5"/>
      <c r="AK160" s="6">
        <v>5</v>
      </c>
      <c r="AL160" s="6">
        <v>68</v>
      </c>
    </row>
    <row r="161" spans="1:38" ht="11.1" customHeight="1" x14ac:dyDescent="0.2">
      <c r="A161" s="4" t="s">
        <v>353</v>
      </c>
      <c r="B161" s="4" t="s">
        <v>354</v>
      </c>
      <c r="C161" s="4" t="s">
        <v>1339</v>
      </c>
      <c r="D161" s="4">
        <v>5</v>
      </c>
      <c r="E161" s="5"/>
      <c r="F161" s="5"/>
      <c r="G161" s="5"/>
      <c r="H161" s="5"/>
      <c r="I161" s="5"/>
      <c r="J161" s="5"/>
      <c r="K161" s="5"/>
      <c r="L161" s="5"/>
      <c r="M161" s="6">
        <v>10</v>
      </c>
      <c r="N161" s="6">
        <v>14</v>
      </c>
      <c r="O161" s="6">
        <v>4</v>
      </c>
      <c r="P161" s="6">
        <v>4</v>
      </c>
      <c r="Q161" s="6">
        <v>4</v>
      </c>
      <c r="R161" s="5"/>
      <c r="S161" s="5"/>
      <c r="T161" s="5"/>
      <c r="U161" s="5"/>
      <c r="V161" s="6">
        <v>3</v>
      </c>
      <c r="W161" s="5"/>
      <c r="X161" s="6">
        <v>2</v>
      </c>
      <c r="Y161" s="5"/>
      <c r="Z161" s="6">
        <v>2</v>
      </c>
      <c r="AA161" s="6">
        <v>4</v>
      </c>
      <c r="AB161" s="5"/>
      <c r="AC161" s="6">
        <v>8</v>
      </c>
      <c r="AD161" s="5"/>
      <c r="AE161" s="5"/>
      <c r="AF161" s="6">
        <v>2</v>
      </c>
      <c r="AG161" s="6">
        <v>4</v>
      </c>
      <c r="AH161" s="5"/>
      <c r="AI161" s="5"/>
      <c r="AJ161" s="6">
        <v>1</v>
      </c>
      <c r="AK161" s="6">
        <v>4</v>
      </c>
      <c r="AL161" s="6">
        <v>66</v>
      </c>
    </row>
    <row r="162" spans="1:38" ht="11.1" customHeight="1" x14ac:dyDescent="0.2">
      <c r="A162" s="4" t="s">
        <v>355</v>
      </c>
      <c r="B162" s="4" t="s">
        <v>356</v>
      </c>
      <c r="C162" s="4" t="s">
        <v>1340</v>
      </c>
      <c r="D162" s="4">
        <v>5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6">
        <v>1</v>
      </c>
      <c r="P162" s="5"/>
      <c r="Q162" s="6">
        <v>5</v>
      </c>
      <c r="R162" s="5"/>
      <c r="S162" s="5"/>
      <c r="T162" s="5"/>
      <c r="U162" s="5"/>
      <c r="V162" s="6">
        <v>2</v>
      </c>
      <c r="W162" s="5"/>
      <c r="X162" s="5"/>
      <c r="Y162" s="5"/>
      <c r="Z162" s="5"/>
      <c r="AA162" s="6">
        <v>2</v>
      </c>
      <c r="AB162" s="6">
        <v>3</v>
      </c>
      <c r="AC162" s="5"/>
      <c r="AD162" s="5"/>
      <c r="AE162" s="5"/>
      <c r="AF162" s="5"/>
      <c r="AG162" s="5"/>
      <c r="AH162" s="5"/>
      <c r="AI162" s="5"/>
      <c r="AJ162" s="5"/>
      <c r="AK162" s="6">
        <v>5</v>
      </c>
      <c r="AL162" s="6">
        <v>18</v>
      </c>
    </row>
    <row r="163" spans="1:38" ht="11.1" customHeight="1" x14ac:dyDescent="0.2">
      <c r="A163" s="4" t="s">
        <v>357</v>
      </c>
      <c r="B163" s="4" t="s">
        <v>358</v>
      </c>
      <c r="C163" s="4" t="s">
        <v>1341</v>
      </c>
      <c r="D163" s="4">
        <v>1</v>
      </c>
      <c r="E163" s="5"/>
      <c r="F163" s="5"/>
      <c r="G163" s="5"/>
      <c r="H163" s="5"/>
      <c r="I163" s="5"/>
      <c r="J163" s="5"/>
      <c r="K163" s="5"/>
      <c r="L163" s="5"/>
      <c r="M163" s="5"/>
      <c r="N163" s="6">
        <v>12</v>
      </c>
      <c r="O163" s="5"/>
      <c r="P163" s="6">
        <v>3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6">
        <v>6</v>
      </c>
      <c r="AD163" s="5"/>
      <c r="AE163" s="5"/>
      <c r="AF163" s="5"/>
      <c r="AG163" s="5"/>
      <c r="AH163" s="5"/>
      <c r="AI163" s="5"/>
      <c r="AJ163" s="5"/>
      <c r="AK163" s="5"/>
      <c r="AL163" s="6">
        <v>21</v>
      </c>
    </row>
    <row r="164" spans="1:38" ht="11.1" customHeight="1" x14ac:dyDescent="0.2">
      <c r="A164" s="4" t="s">
        <v>359</v>
      </c>
      <c r="B164" s="4" t="s">
        <v>360</v>
      </c>
      <c r="C164" s="4" t="s">
        <v>1342</v>
      </c>
      <c r="D164" s="4">
        <v>5</v>
      </c>
      <c r="E164" s="5"/>
      <c r="F164" s="5"/>
      <c r="G164" s="5"/>
      <c r="H164" s="5"/>
      <c r="I164" s="5"/>
      <c r="J164" s="5"/>
      <c r="K164" s="5"/>
      <c r="L164" s="5"/>
      <c r="M164" s="6">
        <v>10</v>
      </c>
      <c r="N164" s="6">
        <v>12</v>
      </c>
      <c r="O164" s="6">
        <v>57</v>
      </c>
      <c r="P164" s="5"/>
      <c r="Q164" s="5"/>
      <c r="R164" s="6">
        <v>21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6">
        <v>7</v>
      </c>
      <c r="AD164" s="5"/>
      <c r="AE164" s="5"/>
      <c r="AF164" s="5"/>
      <c r="AG164" s="5"/>
      <c r="AH164" s="5"/>
      <c r="AI164" s="5"/>
      <c r="AJ164" s="5"/>
      <c r="AK164" s="6">
        <v>103</v>
      </c>
      <c r="AL164" s="6">
        <v>210</v>
      </c>
    </row>
    <row r="165" spans="1:38" ht="11.1" customHeight="1" x14ac:dyDescent="0.2">
      <c r="A165" s="4" t="s">
        <v>361</v>
      </c>
      <c r="B165" s="4" t="s">
        <v>362</v>
      </c>
      <c r="C165" s="4" t="s">
        <v>1343</v>
      </c>
      <c r="D165" s="4">
        <v>5</v>
      </c>
      <c r="E165" s="5"/>
      <c r="F165" s="5"/>
      <c r="G165" s="5"/>
      <c r="H165" s="5"/>
      <c r="I165" s="5"/>
      <c r="J165" s="5"/>
      <c r="K165" s="5"/>
      <c r="L165" s="5"/>
      <c r="M165" s="6">
        <v>11</v>
      </c>
      <c r="N165" s="5"/>
      <c r="O165" s="6">
        <v>3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6">
        <v>1</v>
      </c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6">
        <v>15</v>
      </c>
    </row>
    <row r="166" spans="1:38" ht="11.1" customHeight="1" x14ac:dyDescent="0.2">
      <c r="A166" s="4" t="s">
        <v>363</v>
      </c>
      <c r="B166" s="4" t="s">
        <v>364</v>
      </c>
      <c r="C166" s="4" t="s">
        <v>1344</v>
      </c>
      <c r="D166" s="4">
        <v>10</v>
      </c>
      <c r="E166" s="5"/>
      <c r="F166" s="5"/>
      <c r="G166" s="5"/>
      <c r="H166" s="5"/>
      <c r="I166" s="5"/>
      <c r="J166" s="5"/>
      <c r="K166" s="5"/>
      <c r="L166" s="6">
        <v>4</v>
      </c>
      <c r="M166" s="6">
        <v>42</v>
      </c>
      <c r="N166" s="6">
        <v>15</v>
      </c>
      <c r="O166" s="6">
        <v>44</v>
      </c>
      <c r="P166" s="6">
        <v>18</v>
      </c>
      <c r="Q166" s="6">
        <v>25</v>
      </c>
      <c r="R166" s="6">
        <v>28</v>
      </c>
      <c r="S166" s="6">
        <v>-15</v>
      </c>
      <c r="T166" s="6">
        <v>6</v>
      </c>
      <c r="U166" s="6">
        <v>1</v>
      </c>
      <c r="V166" s="6">
        <v>11</v>
      </c>
      <c r="W166" s="6">
        <v>1</v>
      </c>
      <c r="X166" s="6">
        <v>19</v>
      </c>
      <c r="Y166" s="6">
        <v>7</v>
      </c>
      <c r="Z166" s="6">
        <v>23</v>
      </c>
      <c r="AA166" s="6">
        <v>15</v>
      </c>
      <c r="AB166" s="6">
        <v>36</v>
      </c>
      <c r="AC166" s="6">
        <v>59</v>
      </c>
      <c r="AD166" s="6">
        <v>26</v>
      </c>
      <c r="AE166" s="6">
        <v>70</v>
      </c>
      <c r="AF166" s="6">
        <v>2</v>
      </c>
      <c r="AG166" s="6">
        <v>23</v>
      </c>
      <c r="AH166" s="6">
        <v>16</v>
      </c>
      <c r="AI166" s="6">
        <v>29</v>
      </c>
      <c r="AJ166" s="6">
        <v>1</v>
      </c>
      <c r="AK166" s="6">
        <v>73</v>
      </c>
      <c r="AL166" s="6">
        <v>579</v>
      </c>
    </row>
    <row r="167" spans="1:38" ht="11.1" customHeight="1" x14ac:dyDescent="0.2">
      <c r="A167" s="4" t="s">
        <v>365</v>
      </c>
      <c r="B167" s="4" t="s">
        <v>366</v>
      </c>
      <c r="C167" s="4" t="s">
        <v>1345</v>
      </c>
      <c r="D167" s="4">
        <v>5</v>
      </c>
      <c r="E167" s="5"/>
      <c r="F167" s="5"/>
      <c r="G167" s="5"/>
      <c r="H167" s="5"/>
      <c r="I167" s="5"/>
      <c r="J167" s="5"/>
      <c r="K167" s="5"/>
      <c r="L167" s="5"/>
      <c r="M167" s="6">
        <v>29</v>
      </c>
      <c r="N167" s="6">
        <v>12</v>
      </c>
      <c r="O167" s="6">
        <v>28</v>
      </c>
      <c r="P167" s="6">
        <v>7</v>
      </c>
      <c r="Q167" s="6">
        <v>10</v>
      </c>
      <c r="R167" s="6">
        <v>11</v>
      </c>
      <c r="S167" s="6">
        <v>-1</v>
      </c>
      <c r="T167" s="6">
        <v>24</v>
      </c>
      <c r="U167" s="5"/>
      <c r="V167" s="6">
        <v>25</v>
      </c>
      <c r="W167" s="5"/>
      <c r="X167" s="6">
        <v>45</v>
      </c>
      <c r="Y167" s="6">
        <v>5</v>
      </c>
      <c r="Z167" s="6">
        <v>23</v>
      </c>
      <c r="AA167" s="6">
        <v>12</v>
      </c>
      <c r="AB167" s="6">
        <v>24</v>
      </c>
      <c r="AC167" s="6">
        <v>25</v>
      </c>
      <c r="AD167" s="6">
        <v>8</v>
      </c>
      <c r="AE167" s="6">
        <v>19</v>
      </c>
      <c r="AF167" s="5"/>
      <c r="AG167" s="6">
        <v>20</v>
      </c>
      <c r="AH167" s="6">
        <v>11</v>
      </c>
      <c r="AI167" s="6">
        <v>22</v>
      </c>
      <c r="AJ167" s="6">
        <v>1</v>
      </c>
      <c r="AK167" s="6">
        <v>22</v>
      </c>
      <c r="AL167" s="6">
        <v>382</v>
      </c>
    </row>
    <row r="168" spans="1:38" ht="11.1" customHeight="1" x14ac:dyDescent="0.2">
      <c r="A168" s="4" t="s">
        <v>367</v>
      </c>
      <c r="B168" s="4" t="s">
        <v>368</v>
      </c>
      <c r="C168" s="4" t="s">
        <v>1346</v>
      </c>
      <c r="D168" s="4">
        <v>5</v>
      </c>
      <c r="E168" s="5"/>
      <c r="F168" s="5"/>
      <c r="G168" s="5"/>
      <c r="H168" s="5"/>
      <c r="I168" s="5"/>
      <c r="J168" s="5"/>
      <c r="K168" s="5"/>
      <c r="L168" s="5"/>
      <c r="M168" s="6">
        <v>13</v>
      </c>
      <c r="N168" s="6">
        <v>15</v>
      </c>
      <c r="O168" s="6">
        <v>12</v>
      </c>
      <c r="P168" s="6">
        <v>2</v>
      </c>
      <c r="Q168" s="6">
        <v>6</v>
      </c>
      <c r="R168" s="6">
        <v>13</v>
      </c>
      <c r="S168" s="6">
        <v>-1</v>
      </c>
      <c r="T168" s="6">
        <v>3</v>
      </c>
      <c r="U168" s="5"/>
      <c r="V168" s="6">
        <v>5</v>
      </c>
      <c r="W168" s="5"/>
      <c r="X168" s="5"/>
      <c r="Y168" s="5"/>
      <c r="Z168" s="6">
        <v>8</v>
      </c>
      <c r="AA168" s="6">
        <v>7</v>
      </c>
      <c r="AB168" s="6">
        <v>6</v>
      </c>
      <c r="AC168" s="6">
        <v>6</v>
      </c>
      <c r="AD168" s="6">
        <v>4</v>
      </c>
      <c r="AE168" s="6">
        <v>4</v>
      </c>
      <c r="AF168" s="5"/>
      <c r="AG168" s="6">
        <v>3</v>
      </c>
      <c r="AH168" s="6">
        <v>4</v>
      </c>
      <c r="AI168" s="6">
        <v>2</v>
      </c>
      <c r="AJ168" s="5"/>
      <c r="AK168" s="6">
        <v>14</v>
      </c>
      <c r="AL168" s="6">
        <v>126</v>
      </c>
    </row>
    <row r="169" spans="1:38" ht="11.1" customHeight="1" x14ac:dyDescent="0.2">
      <c r="A169" s="4" t="s">
        <v>369</v>
      </c>
      <c r="B169" s="4" t="s">
        <v>370</v>
      </c>
      <c r="C169" s="4" t="s">
        <v>1347</v>
      </c>
      <c r="D169" s="4">
        <v>5</v>
      </c>
      <c r="E169" s="5"/>
      <c r="F169" s="5"/>
      <c r="G169" s="5"/>
      <c r="H169" s="5"/>
      <c r="I169" s="5"/>
      <c r="J169" s="5"/>
      <c r="K169" s="5"/>
      <c r="L169" s="5"/>
      <c r="M169" s="6">
        <v>11</v>
      </c>
      <c r="N169" s="6">
        <v>11</v>
      </c>
      <c r="O169" s="6">
        <v>5</v>
      </c>
      <c r="P169" s="6">
        <v>5</v>
      </c>
      <c r="Q169" s="6">
        <v>1</v>
      </c>
      <c r="R169" s="5"/>
      <c r="S169" s="5"/>
      <c r="T169" s="6">
        <v>1</v>
      </c>
      <c r="U169" s="5"/>
      <c r="V169" s="6">
        <v>12</v>
      </c>
      <c r="W169" s="5"/>
      <c r="X169" s="6">
        <v>5</v>
      </c>
      <c r="Y169" s="5"/>
      <c r="Z169" s="6">
        <v>1</v>
      </c>
      <c r="AA169" s="6">
        <v>2</v>
      </c>
      <c r="AB169" s="6">
        <v>2</v>
      </c>
      <c r="AC169" s="6">
        <v>1</v>
      </c>
      <c r="AD169" s="5"/>
      <c r="AE169" s="6">
        <v>2</v>
      </c>
      <c r="AF169" s="5"/>
      <c r="AG169" s="6">
        <v>3</v>
      </c>
      <c r="AH169" s="5"/>
      <c r="AI169" s="5"/>
      <c r="AJ169" s="5"/>
      <c r="AK169" s="6">
        <v>2</v>
      </c>
      <c r="AL169" s="6">
        <v>64</v>
      </c>
    </row>
    <row r="170" spans="1:38" ht="11.1" customHeight="1" x14ac:dyDescent="0.2">
      <c r="A170" s="4" t="s">
        <v>371</v>
      </c>
      <c r="B170" s="4" t="s">
        <v>372</v>
      </c>
      <c r="C170" s="4" t="s">
        <v>1348</v>
      </c>
      <c r="D170" s="4">
        <v>5</v>
      </c>
      <c r="E170" s="5"/>
      <c r="F170" s="5"/>
      <c r="G170" s="5"/>
      <c r="H170" s="5"/>
      <c r="I170" s="5"/>
      <c r="J170" s="5"/>
      <c r="K170" s="5"/>
      <c r="L170" s="5"/>
      <c r="M170" s="6">
        <v>11</v>
      </c>
      <c r="N170" s="6">
        <v>10</v>
      </c>
      <c r="O170" s="5"/>
      <c r="P170" s="5"/>
      <c r="Q170" s="6">
        <v>3</v>
      </c>
      <c r="R170" s="6">
        <v>1</v>
      </c>
      <c r="S170" s="6">
        <v>-1</v>
      </c>
      <c r="T170" s="5"/>
      <c r="U170" s="5"/>
      <c r="V170" s="5"/>
      <c r="W170" s="5"/>
      <c r="X170" s="5"/>
      <c r="Y170" s="5"/>
      <c r="Z170" s="5"/>
      <c r="AA170" s="6">
        <v>1</v>
      </c>
      <c r="AB170" s="5"/>
      <c r="AC170" s="6">
        <v>2</v>
      </c>
      <c r="AD170" s="5"/>
      <c r="AE170" s="5"/>
      <c r="AF170" s="5"/>
      <c r="AG170" s="5"/>
      <c r="AH170" s="5"/>
      <c r="AI170" s="5"/>
      <c r="AJ170" s="5"/>
      <c r="AK170" s="5"/>
      <c r="AL170" s="6">
        <v>27</v>
      </c>
    </row>
    <row r="171" spans="1:38" ht="11.1" customHeight="1" x14ac:dyDescent="0.2">
      <c r="A171" s="4" t="s">
        <v>373</v>
      </c>
      <c r="B171" s="4" t="s">
        <v>374</v>
      </c>
      <c r="C171" s="4" t="s">
        <v>1349</v>
      </c>
      <c r="D171" s="4">
        <v>5</v>
      </c>
      <c r="E171" s="5"/>
      <c r="F171" s="5"/>
      <c r="G171" s="5"/>
      <c r="H171" s="5"/>
      <c r="I171" s="5"/>
      <c r="J171" s="5"/>
      <c r="K171" s="5"/>
      <c r="L171" s="5"/>
      <c r="M171" s="6">
        <v>10</v>
      </c>
      <c r="N171" s="6">
        <v>10</v>
      </c>
      <c r="O171" s="6">
        <v>2</v>
      </c>
      <c r="P171" s="6">
        <v>8</v>
      </c>
      <c r="Q171" s="6">
        <v>6</v>
      </c>
      <c r="R171" s="5"/>
      <c r="S171" s="5"/>
      <c r="T171" s="5"/>
      <c r="U171" s="5"/>
      <c r="V171" s="6">
        <v>8</v>
      </c>
      <c r="W171" s="6">
        <v>1</v>
      </c>
      <c r="X171" s="5"/>
      <c r="Y171" s="5"/>
      <c r="Z171" s="5"/>
      <c r="AA171" s="6">
        <v>2</v>
      </c>
      <c r="AB171" s="6">
        <v>2</v>
      </c>
      <c r="AC171" s="5"/>
      <c r="AD171" s="5"/>
      <c r="AE171" s="6">
        <v>2</v>
      </c>
      <c r="AF171" s="5"/>
      <c r="AG171" s="5"/>
      <c r="AH171" s="5"/>
      <c r="AI171" s="5"/>
      <c r="AJ171" s="5"/>
      <c r="AK171" s="6">
        <v>2</v>
      </c>
      <c r="AL171" s="6">
        <v>53</v>
      </c>
    </row>
    <row r="172" spans="1:38" ht="11.1" customHeight="1" x14ac:dyDescent="0.2">
      <c r="A172" s="4" t="s">
        <v>375</v>
      </c>
      <c r="B172" s="4" t="s">
        <v>376</v>
      </c>
      <c r="C172" s="4" t="s">
        <v>1350</v>
      </c>
      <c r="D172" s="4">
        <v>5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6">
        <v>3</v>
      </c>
      <c r="AC172" s="5"/>
      <c r="AD172" s="5"/>
      <c r="AE172" s="5"/>
      <c r="AF172" s="5"/>
      <c r="AG172" s="5"/>
      <c r="AH172" s="5"/>
      <c r="AI172" s="5"/>
      <c r="AJ172" s="6">
        <v>1</v>
      </c>
      <c r="AK172" s="5"/>
      <c r="AL172" s="6">
        <v>4</v>
      </c>
    </row>
    <row r="173" spans="1:38" ht="11.1" customHeight="1" x14ac:dyDescent="0.2">
      <c r="A173" s="4" t="s">
        <v>377</v>
      </c>
      <c r="B173" s="4" t="s">
        <v>378</v>
      </c>
      <c r="C173" s="4" t="s">
        <v>1351</v>
      </c>
      <c r="D173" s="4">
        <v>5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6">
        <v>2</v>
      </c>
      <c r="Q173" s="5"/>
      <c r="R173" s="5"/>
      <c r="S173" s="5"/>
      <c r="T173" s="5"/>
      <c r="U173" s="5"/>
      <c r="V173" s="6">
        <v>8</v>
      </c>
      <c r="W173" s="5"/>
      <c r="X173" s="5"/>
      <c r="Y173" s="5"/>
      <c r="Z173" s="5"/>
      <c r="AA173" s="6">
        <v>2</v>
      </c>
      <c r="AB173" s="5"/>
      <c r="AC173" s="5"/>
      <c r="AD173" s="5"/>
      <c r="AE173" s="6">
        <v>2</v>
      </c>
      <c r="AF173" s="5"/>
      <c r="AG173" s="5"/>
      <c r="AH173" s="5"/>
      <c r="AI173" s="5"/>
      <c r="AJ173" s="5"/>
      <c r="AK173" s="5"/>
      <c r="AL173" s="6">
        <v>14</v>
      </c>
    </row>
    <row r="174" spans="1:38" ht="11.1" customHeight="1" x14ac:dyDescent="0.2">
      <c r="A174" s="4" t="s">
        <v>379</v>
      </c>
      <c r="B174" s="4" t="s">
        <v>380</v>
      </c>
      <c r="C174" s="4" t="s">
        <v>1352</v>
      </c>
      <c r="D174" s="4">
        <v>5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">
        <v>1</v>
      </c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6">
        <v>1</v>
      </c>
    </row>
    <row r="175" spans="1:38" ht="23.1" customHeight="1" x14ac:dyDescent="0.2">
      <c r="A175" s="4" t="s">
        <v>381</v>
      </c>
      <c r="B175" s="4" t="s">
        <v>382</v>
      </c>
      <c r="C175" s="4" t="s">
        <v>1353</v>
      </c>
      <c r="D175" s="4">
        <v>1</v>
      </c>
      <c r="E175" s="5"/>
      <c r="F175" s="5"/>
      <c r="G175" s="5"/>
      <c r="H175" s="5"/>
      <c r="I175" s="5"/>
      <c r="J175" s="5"/>
      <c r="K175" s="5"/>
      <c r="L175" s="5"/>
      <c r="M175" s="5"/>
      <c r="N175" s="6">
        <v>2</v>
      </c>
      <c r="O175" s="6">
        <v>2</v>
      </c>
      <c r="P175" s="6">
        <v>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6">
        <v>6</v>
      </c>
    </row>
    <row r="176" spans="1:38" ht="23.1" customHeight="1" x14ac:dyDescent="0.2">
      <c r="A176" s="4" t="s">
        <v>383</v>
      </c>
      <c r="B176" s="4" t="s">
        <v>384</v>
      </c>
      <c r="C176" s="4" t="s">
        <v>1354</v>
      </c>
      <c r="D176" s="4">
        <v>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6">
        <v>8</v>
      </c>
      <c r="AF176" s="5"/>
      <c r="AG176" s="5"/>
      <c r="AH176" s="5"/>
      <c r="AI176" s="5"/>
      <c r="AJ176" s="5"/>
      <c r="AK176" s="5"/>
      <c r="AL176" s="6">
        <v>8</v>
      </c>
    </row>
    <row r="177" spans="1:38" ht="11.1" customHeight="1" x14ac:dyDescent="0.2">
      <c r="A177" s="4" t="s">
        <v>385</v>
      </c>
      <c r="B177" s="4" t="s">
        <v>386</v>
      </c>
      <c r="C177" s="4" t="s">
        <v>1355</v>
      </c>
      <c r="D177" s="4">
        <v>5</v>
      </c>
      <c r="E177" s="5"/>
      <c r="F177" s="5"/>
      <c r="G177" s="5"/>
      <c r="H177" s="5"/>
      <c r="I177" s="5"/>
      <c r="J177" s="5"/>
      <c r="K177" s="5"/>
      <c r="L177" s="5"/>
      <c r="M177" s="6">
        <v>10</v>
      </c>
      <c r="N177" s="6">
        <v>10</v>
      </c>
      <c r="O177" s="6">
        <v>3</v>
      </c>
      <c r="P177" s="6">
        <v>2</v>
      </c>
      <c r="Q177" s="5"/>
      <c r="R177" s="5"/>
      <c r="S177" s="5"/>
      <c r="T177" s="5"/>
      <c r="U177" s="5"/>
      <c r="V177" s="6">
        <v>2</v>
      </c>
      <c r="W177" s="5"/>
      <c r="X177" s="6">
        <v>1</v>
      </c>
      <c r="Y177" s="5"/>
      <c r="Z177" s="5"/>
      <c r="AA177" s="6">
        <v>4</v>
      </c>
      <c r="AB177" s="5"/>
      <c r="AC177" s="5"/>
      <c r="AD177" s="5"/>
      <c r="AE177" s="6">
        <v>4</v>
      </c>
      <c r="AF177" s="5"/>
      <c r="AG177" s="5"/>
      <c r="AH177" s="5"/>
      <c r="AI177" s="5"/>
      <c r="AJ177" s="5"/>
      <c r="AK177" s="5"/>
      <c r="AL177" s="6">
        <v>36</v>
      </c>
    </row>
    <row r="178" spans="1:38" ht="11.1" customHeight="1" x14ac:dyDescent="0.2">
      <c r="A178" s="4" t="s">
        <v>387</v>
      </c>
      <c r="B178" s="4" t="s">
        <v>388</v>
      </c>
      <c r="C178" s="4" t="s">
        <v>1356</v>
      </c>
      <c r="D178" s="4">
        <v>10</v>
      </c>
      <c r="E178" s="5"/>
      <c r="F178" s="5"/>
      <c r="G178" s="5"/>
      <c r="H178" s="5"/>
      <c r="I178" s="5"/>
      <c r="J178" s="5"/>
      <c r="K178" s="5"/>
      <c r="L178" s="6">
        <v>24</v>
      </c>
      <c r="M178" s="6">
        <v>224</v>
      </c>
      <c r="N178" s="6">
        <v>43</v>
      </c>
      <c r="O178" s="6">
        <v>121</v>
      </c>
      <c r="P178" s="6">
        <v>71</v>
      </c>
      <c r="Q178" s="6">
        <v>185</v>
      </c>
      <c r="R178" s="6">
        <v>129</v>
      </c>
      <c r="S178" s="6">
        <v>187</v>
      </c>
      <c r="T178" s="6">
        <v>303</v>
      </c>
      <c r="U178" s="6">
        <v>10</v>
      </c>
      <c r="V178" s="6">
        <v>135</v>
      </c>
      <c r="W178" s="6">
        <v>270</v>
      </c>
      <c r="X178" s="6">
        <v>287</v>
      </c>
      <c r="Y178" s="6">
        <v>46</v>
      </c>
      <c r="Z178" s="6">
        <v>218</v>
      </c>
      <c r="AA178" s="6">
        <v>139</v>
      </c>
      <c r="AB178" s="6">
        <v>88</v>
      </c>
      <c r="AC178" s="6">
        <v>4</v>
      </c>
      <c r="AD178" s="6">
        <v>130</v>
      </c>
      <c r="AE178" s="6">
        <v>11</v>
      </c>
      <c r="AF178" s="6">
        <v>66</v>
      </c>
      <c r="AG178" s="6">
        <v>93</v>
      </c>
      <c r="AH178" s="6">
        <v>138</v>
      </c>
      <c r="AI178" s="6">
        <v>42</v>
      </c>
      <c r="AJ178" s="6">
        <v>9</v>
      </c>
      <c r="AK178" s="6">
        <v>50</v>
      </c>
      <c r="AL178" s="7">
        <v>3023</v>
      </c>
    </row>
    <row r="179" spans="1:38" ht="11.1" customHeight="1" x14ac:dyDescent="0.2">
      <c r="A179" s="4" t="s">
        <v>389</v>
      </c>
      <c r="B179" s="4" t="s">
        <v>390</v>
      </c>
      <c r="C179" s="4" t="s">
        <v>1357</v>
      </c>
      <c r="D179" s="4">
        <v>10</v>
      </c>
      <c r="E179" s="5"/>
      <c r="F179" s="5"/>
      <c r="G179" s="5"/>
      <c r="H179" s="5"/>
      <c r="I179" s="5"/>
      <c r="J179" s="5"/>
      <c r="K179" s="5"/>
      <c r="L179" s="5"/>
      <c r="M179" s="6">
        <v>10</v>
      </c>
      <c r="N179" s="6">
        <v>10</v>
      </c>
      <c r="O179" s="5"/>
      <c r="P179" s="5"/>
      <c r="Q179" s="5"/>
      <c r="R179" s="5"/>
      <c r="S179" s="6">
        <v>1</v>
      </c>
      <c r="T179" s="5"/>
      <c r="U179" s="5"/>
      <c r="V179" s="5"/>
      <c r="W179" s="5"/>
      <c r="X179" s="6">
        <v>75</v>
      </c>
      <c r="Y179" s="5"/>
      <c r="Z179" s="6">
        <v>9</v>
      </c>
      <c r="AA179" s="5"/>
      <c r="AB179" s="5"/>
      <c r="AC179" s="5"/>
      <c r="AD179" s="5"/>
      <c r="AE179" s="5"/>
      <c r="AF179" s="5"/>
      <c r="AG179" s="5"/>
      <c r="AH179" s="6">
        <v>3</v>
      </c>
      <c r="AI179" s="5"/>
      <c r="AJ179" s="5"/>
      <c r="AK179" s="5"/>
      <c r="AL179" s="6">
        <v>108</v>
      </c>
    </row>
    <row r="180" spans="1:38" ht="11.1" customHeight="1" x14ac:dyDescent="0.2">
      <c r="A180" s="4" t="s">
        <v>391</v>
      </c>
      <c r="B180" s="4" t="s">
        <v>392</v>
      </c>
      <c r="C180" s="4" t="s">
        <v>1358</v>
      </c>
      <c r="D180" s="4">
        <v>10</v>
      </c>
      <c r="E180" s="5"/>
      <c r="F180" s="5"/>
      <c r="G180" s="5"/>
      <c r="H180" s="5"/>
      <c r="I180" s="5"/>
      <c r="J180" s="5"/>
      <c r="K180" s="5"/>
      <c r="L180" s="6">
        <v>24</v>
      </c>
      <c r="M180" s="6">
        <v>37</v>
      </c>
      <c r="N180" s="6">
        <v>15</v>
      </c>
      <c r="O180" s="6">
        <v>58</v>
      </c>
      <c r="P180" s="6">
        <v>25</v>
      </c>
      <c r="Q180" s="6">
        <v>13</v>
      </c>
      <c r="R180" s="6">
        <v>16</v>
      </c>
      <c r="S180" s="6">
        <v>37</v>
      </c>
      <c r="T180" s="6">
        <v>11</v>
      </c>
      <c r="U180" s="5"/>
      <c r="V180" s="6">
        <v>9</v>
      </c>
      <c r="W180" s="5"/>
      <c r="X180" s="6">
        <v>90</v>
      </c>
      <c r="Y180" s="6">
        <v>-17</v>
      </c>
      <c r="Z180" s="6">
        <v>39</v>
      </c>
      <c r="AA180" s="6">
        <v>13</v>
      </c>
      <c r="AB180" s="6">
        <v>6</v>
      </c>
      <c r="AC180" s="6">
        <v>1</v>
      </c>
      <c r="AD180" s="6">
        <v>28</v>
      </c>
      <c r="AE180" s="6">
        <v>-10</v>
      </c>
      <c r="AF180" s="6">
        <v>5</v>
      </c>
      <c r="AG180" s="6">
        <v>29</v>
      </c>
      <c r="AH180" s="6">
        <v>20</v>
      </c>
      <c r="AI180" s="6">
        <v>11</v>
      </c>
      <c r="AJ180" s="5"/>
      <c r="AK180" s="6">
        <v>11</v>
      </c>
      <c r="AL180" s="6">
        <v>471</v>
      </c>
    </row>
    <row r="181" spans="1:38" ht="11.1" customHeight="1" x14ac:dyDescent="0.2">
      <c r="A181" s="4" t="s">
        <v>393</v>
      </c>
      <c r="B181" s="4" t="s">
        <v>394</v>
      </c>
      <c r="C181" s="4" t="s">
        <v>1359</v>
      </c>
      <c r="D181" s="4">
        <v>10</v>
      </c>
      <c r="E181" s="5"/>
      <c r="F181" s="5"/>
      <c r="G181" s="5"/>
      <c r="H181" s="5"/>
      <c r="I181" s="5"/>
      <c r="J181" s="5"/>
      <c r="K181" s="5"/>
      <c r="L181" s="6">
        <v>10</v>
      </c>
      <c r="M181" s="6">
        <v>10</v>
      </c>
      <c r="N181" s="6">
        <v>10</v>
      </c>
      <c r="O181" s="6">
        <v>20</v>
      </c>
      <c r="P181" s="5"/>
      <c r="Q181" s="5"/>
      <c r="R181" s="5"/>
      <c r="S181" s="6">
        <v>1</v>
      </c>
      <c r="T181" s="5"/>
      <c r="U181" s="5"/>
      <c r="V181" s="5"/>
      <c r="W181" s="5"/>
      <c r="X181" s="5"/>
      <c r="Y181" s="6">
        <v>-10</v>
      </c>
      <c r="Z181" s="5"/>
      <c r="AA181" s="5"/>
      <c r="AB181" s="5"/>
      <c r="AC181" s="5"/>
      <c r="AD181" s="5"/>
      <c r="AE181" s="6">
        <v>-17</v>
      </c>
      <c r="AF181" s="5"/>
      <c r="AG181" s="5"/>
      <c r="AH181" s="6">
        <v>4</v>
      </c>
      <c r="AI181" s="5"/>
      <c r="AJ181" s="6">
        <v>6</v>
      </c>
      <c r="AK181" s="5"/>
      <c r="AL181" s="6">
        <v>34</v>
      </c>
    </row>
    <row r="182" spans="1:38" ht="11.1" customHeight="1" x14ac:dyDescent="0.2">
      <c r="A182" s="4" t="s">
        <v>395</v>
      </c>
      <c r="B182" s="4" t="s">
        <v>396</v>
      </c>
      <c r="C182" s="4" t="s">
        <v>1360</v>
      </c>
      <c r="D182" s="4">
        <v>10</v>
      </c>
      <c r="E182" s="5"/>
      <c r="F182" s="5"/>
      <c r="G182" s="5"/>
      <c r="H182" s="5"/>
      <c r="I182" s="5"/>
      <c r="J182" s="5"/>
      <c r="K182" s="5"/>
      <c r="L182" s="6">
        <v>20</v>
      </c>
      <c r="M182" s="6">
        <v>58</v>
      </c>
      <c r="N182" s="6">
        <v>15</v>
      </c>
      <c r="O182" s="6">
        <v>34</v>
      </c>
      <c r="P182" s="6">
        <v>8</v>
      </c>
      <c r="Q182" s="6">
        <v>39</v>
      </c>
      <c r="R182" s="6">
        <v>28</v>
      </c>
      <c r="S182" s="6">
        <v>16</v>
      </c>
      <c r="T182" s="6">
        <v>46</v>
      </c>
      <c r="U182" s="5"/>
      <c r="V182" s="5"/>
      <c r="W182" s="5"/>
      <c r="X182" s="6">
        <v>41</v>
      </c>
      <c r="Y182" s="6">
        <v>2</v>
      </c>
      <c r="Z182" s="6">
        <v>35</v>
      </c>
      <c r="AA182" s="6">
        <v>36</v>
      </c>
      <c r="AB182" s="6">
        <v>4</v>
      </c>
      <c r="AC182" s="5"/>
      <c r="AD182" s="6">
        <v>10</v>
      </c>
      <c r="AE182" s="6">
        <v>-4</v>
      </c>
      <c r="AF182" s="6">
        <v>15</v>
      </c>
      <c r="AG182" s="6">
        <v>12</v>
      </c>
      <c r="AH182" s="6">
        <v>27</v>
      </c>
      <c r="AI182" s="6">
        <v>4</v>
      </c>
      <c r="AJ182" s="5"/>
      <c r="AK182" s="6">
        <v>4</v>
      </c>
      <c r="AL182" s="6">
        <v>450</v>
      </c>
    </row>
    <row r="183" spans="1:38" ht="11.1" customHeight="1" x14ac:dyDescent="0.2">
      <c r="A183" s="4" t="s">
        <v>397</v>
      </c>
      <c r="B183" s="4" t="s">
        <v>398</v>
      </c>
      <c r="C183" s="4" t="s">
        <v>1361</v>
      </c>
      <c r="D183" s="4">
        <v>10</v>
      </c>
      <c r="E183" s="5"/>
      <c r="F183" s="5"/>
      <c r="G183" s="5"/>
      <c r="H183" s="5"/>
      <c r="I183" s="5"/>
      <c r="J183" s="5"/>
      <c r="K183" s="5"/>
      <c r="L183" s="6">
        <v>10</v>
      </c>
      <c r="M183" s="6">
        <v>10</v>
      </c>
      <c r="N183" s="6">
        <v>10</v>
      </c>
      <c r="O183" s="6">
        <v>20</v>
      </c>
      <c r="P183" s="5"/>
      <c r="Q183" s="5"/>
      <c r="R183" s="5"/>
      <c r="S183" s="5"/>
      <c r="T183" s="5"/>
      <c r="U183" s="5"/>
      <c r="V183" s="5"/>
      <c r="W183" s="5"/>
      <c r="X183" s="5"/>
      <c r="Y183" s="6">
        <v>-10</v>
      </c>
      <c r="Z183" s="6">
        <v>1</v>
      </c>
      <c r="AA183" s="5"/>
      <c r="AB183" s="5"/>
      <c r="AC183" s="5"/>
      <c r="AD183" s="5"/>
      <c r="AE183" s="6">
        <v>-18</v>
      </c>
      <c r="AF183" s="5"/>
      <c r="AG183" s="5"/>
      <c r="AH183" s="5"/>
      <c r="AI183" s="5"/>
      <c r="AJ183" s="5"/>
      <c r="AK183" s="5"/>
      <c r="AL183" s="6">
        <v>23</v>
      </c>
    </row>
    <row r="184" spans="1:38" ht="11.1" customHeight="1" x14ac:dyDescent="0.2">
      <c r="A184" s="4" t="s">
        <v>399</v>
      </c>
      <c r="B184" s="4" t="s">
        <v>400</v>
      </c>
      <c r="C184" s="4" t="s">
        <v>1362</v>
      </c>
      <c r="D184" s="4">
        <v>5</v>
      </c>
      <c r="E184" s="5"/>
      <c r="F184" s="5"/>
      <c r="G184" s="5"/>
      <c r="H184" s="5"/>
      <c r="I184" s="5"/>
      <c r="J184" s="5"/>
      <c r="K184" s="5"/>
      <c r="L184" s="6">
        <v>6</v>
      </c>
      <c r="M184" s="6">
        <v>11</v>
      </c>
      <c r="N184" s="6">
        <v>12</v>
      </c>
      <c r="O184" s="6">
        <v>12</v>
      </c>
      <c r="P184" s="5"/>
      <c r="Q184" s="6">
        <v>6</v>
      </c>
      <c r="R184" s="5"/>
      <c r="S184" s="6">
        <v>1</v>
      </c>
      <c r="T184" s="6">
        <v>6</v>
      </c>
      <c r="U184" s="5"/>
      <c r="V184" s="6">
        <v>3</v>
      </c>
      <c r="W184" s="5"/>
      <c r="X184" s="6">
        <v>30</v>
      </c>
      <c r="Y184" s="6">
        <v>-5</v>
      </c>
      <c r="Z184" s="6">
        <v>7</v>
      </c>
      <c r="AA184" s="5"/>
      <c r="AB184" s="5"/>
      <c r="AC184" s="5"/>
      <c r="AD184" s="6">
        <v>11</v>
      </c>
      <c r="AE184" s="6">
        <v>-3</v>
      </c>
      <c r="AF184" s="6">
        <v>17</v>
      </c>
      <c r="AG184" s="6">
        <v>8</v>
      </c>
      <c r="AH184" s="6">
        <v>6</v>
      </c>
      <c r="AI184" s="5"/>
      <c r="AJ184" s="5"/>
      <c r="AK184" s="6">
        <v>3</v>
      </c>
      <c r="AL184" s="6">
        <v>131</v>
      </c>
    </row>
    <row r="185" spans="1:38" ht="11.1" customHeight="1" x14ac:dyDescent="0.2">
      <c r="A185" s="4" t="s">
        <v>401</v>
      </c>
      <c r="B185" s="4" t="s">
        <v>402</v>
      </c>
      <c r="C185" s="4" t="s">
        <v>1363</v>
      </c>
      <c r="D185" s="4">
        <v>10</v>
      </c>
      <c r="E185" s="5"/>
      <c r="F185" s="5"/>
      <c r="G185" s="5"/>
      <c r="H185" s="5"/>
      <c r="I185" s="5"/>
      <c r="J185" s="5"/>
      <c r="K185" s="5"/>
      <c r="L185" s="6">
        <v>10</v>
      </c>
      <c r="M185" s="6">
        <v>14</v>
      </c>
      <c r="N185" s="6">
        <v>10</v>
      </c>
      <c r="O185" s="6">
        <v>10</v>
      </c>
      <c r="P185" s="6">
        <v>2</v>
      </c>
      <c r="Q185" s="6">
        <v>14</v>
      </c>
      <c r="R185" s="5"/>
      <c r="S185" s="6">
        <v>11</v>
      </c>
      <c r="T185" s="6">
        <v>20</v>
      </c>
      <c r="U185" s="5"/>
      <c r="V185" s="6">
        <v>10</v>
      </c>
      <c r="W185" s="5"/>
      <c r="X185" s="6">
        <v>33</v>
      </c>
      <c r="Y185" s="6">
        <v>-10</v>
      </c>
      <c r="Z185" s="6">
        <v>10</v>
      </c>
      <c r="AA185" s="6">
        <v>10</v>
      </c>
      <c r="AB185" s="6">
        <v>4</v>
      </c>
      <c r="AC185" s="5"/>
      <c r="AD185" s="6">
        <v>5</v>
      </c>
      <c r="AE185" s="6">
        <v>-8</v>
      </c>
      <c r="AF185" s="6">
        <v>2</v>
      </c>
      <c r="AG185" s="5"/>
      <c r="AH185" s="6">
        <v>14</v>
      </c>
      <c r="AI185" s="5"/>
      <c r="AJ185" s="6">
        <v>4</v>
      </c>
      <c r="AK185" s="5"/>
      <c r="AL185" s="6">
        <v>165</v>
      </c>
    </row>
    <row r="186" spans="1:38" ht="11.1" customHeight="1" x14ac:dyDescent="0.2">
      <c r="A186" s="4" t="s">
        <v>403</v>
      </c>
      <c r="B186" s="4" t="s">
        <v>404</v>
      </c>
      <c r="C186" s="4" t="s">
        <v>1364</v>
      </c>
      <c r="D186" s="4">
        <v>5</v>
      </c>
      <c r="E186" s="5"/>
      <c r="F186" s="5"/>
      <c r="G186" s="5"/>
      <c r="H186" s="5"/>
      <c r="I186" s="5"/>
      <c r="J186" s="5"/>
      <c r="K186" s="5"/>
      <c r="L186" s="6">
        <v>5</v>
      </c>
      <c r="M186" s="6">
        <v>13</v>
      </c>
      <c r="N186" s="6">
        <v>10</v>
      </c>
      <c r="O186" s="5"/>
      <c r="P186" s="5"/>
      <c r="Q186" s="6">
        <v>3</v>
      </c>
      <c r="R186" s="5"/>
      <c r="S186" s="5"/>
      <c r="T186" s="5"/>
      <c r="U186" s="5"/>
      <c r="V186" s="5"/>
      <c r="W186" s="6">
        <v>2</v>
      </c>
      <c r="X186" s="6">
        <v>6</v>
      </c>
      <c r="Y186" s="6">
        <v>-5</v>
      </c>
      <c r="Z186" s="6">
        <v>2</v>
      </c>
      <c r="AA186" s="6">
        <v>2</v>
      </c>
      <c r="AB186" s="5"/>
      <c r="AC186" s="5"/>
      <c r="AD186" s="6">
        <v>3</v>
      </c>
      <c r="AE186" s="5"/>
      <c r="AF186" s="5"/>
      <c r="AG186" s="5"/>
      <c r="AH186" s="6">
        <v>4</v>
      </c>
      <c r="AI186" s="5"/>
      <c r="AJ186" s="5"/>
      <c r="AK186" s="5"/>
      <c r="AL186" s="6">
        <v>45</v>
      </c>
    </row>
    <row r="187" spans="1:38" ht="11.1" customHeight="1" x14ac:dyDescent="0.2">
      <c r="A187" s="4" t="s">
        <v>405</v>
      </c>
      <c r="B187" s="4" t="s">
        <v>406</v>
      </c>
      <c r="C187" s="4" t="s">
        <v>1365</v>
      </c>
      <c r="D187" s="4">
        <v>1</v>
      </c>
      <c r="E187" s="5"/>
      <c r="F187" s="5"/>
      <c r="G187" s="5"/>
      <c r="H187" s="5"/>
      <c r="I187" s="5"/>
      <c r="J187" s="5"/>
      <c r="K187" s="5"/>
      <c r="L187" s="6">
        <v>3</v>
      </c>
      <c r="M187" s="5"/>
      <c r="N187" s="5"/>
      <c r="O187" s="5"/>
      <c r="P187" s="5"/>
      <c r="Q187" s="6">
        <v>5</v>
      </c>
      <c r="R187" s="5"/>
      <c r="S187" s="5"/>
      <c r="T187" s="5"/>
      <c r="U187" s="5"/>
      <c r="V187" s="6">
        <v>1</v>
      </c>
      <c r="W187" s="5"/>
      <c r="X187" s="5"/>
      <c r="Y187" s="6">
        <v>-3</v>
      </c>
      <c r="Z187" s="5"/>
      <c r="AA187" s="5"/>
      <c r="AB187" s="5"/>
      <c r="AC187" s="5"/>
      <c r="AD187" s="5"/>
      <c r="AE187" s="6">
        <v>4</v>
      </c>
      <c r="AF187" s="6">
        <v>6</v>
      </c>
      <c r="AG187" s="6">
        <v>3</v>
      </c>
      <c r="AH187" s="5"/>
      <c r="AI187" s="5"/>
      <c r="AJ187" s="5"/>
      <c r="AK187" s="5"/>
      <c r="AL187" s="6">
        <v>19</v>
      </c>
    </row>
    <row r="188" spans="1:38" ht="11.1" customHeight="1" x14ac:dyDescent="0.2">
      <c r="A188" s="4" t="s">
        <v>407</v>
      </c>
      <c r="B188" s="4" t="s">
        <v>408</v>
      </c>
      <c r="C188" s="4" t="s">
        <v>1366</v>
      </c>
      <c r="D188" s="4">
        <v>5</v>
      </c>
      <c r="E188" s="5"/>
      <c r="F188" s="5"/>
      <c r="G188" s="5"/>
      <c r="H188" s="5"/>
      <c r="I188" s="5"/>
      <c r="J188" s="5"/>
      <c r="K188" s="5"/>
      <c r="L188" s="6">
        <v>5</v>
      </c>
      <c r="M188" s="6">
        <v>12</v>
      </c>
      <c r="N188" s="5"/>
      <c r="O188" s="6">
        <v>7</v>
      </c>
      <c r="P188" s="5"/>
      <c r="Q188" s="6">
        <v>1</v>
      </c>
      <c r="R188" s="6">
        <v>14</v>
      </c>
      <c r="S188" s="5"/>
      <c r="T188" s="5"/>
      <c r="U188" s="5"/>
      <c r="V188" s="5"/>
      <c r="W188" s="6">
        <v>5</v>
      </c>
      <c r="X188" s="6">
        <v>3</v>
      </c>
      <c r="Y188" s="6">
        <v>-5</v>
      </c>
      <c r="Z188" s="6">
        <v>3</v>
      </c>
      <c r="AA188" s="6">
        <v>1</v>
      </c>
      <c r="AB188" s="6">
        <v>1</v>
      </c>
      <c r="AC188" s="5"/>
      <c r="AD188" s="5"/>
      <c r="AE188" s="6">
        <v>-5</v>
      </c>
      <c r="AF188" s="5"/>
      <c r="AG188" s="5"/>
      <c r="AH188" s="5"/>
      <c r="AI188" s="5"/>
      <c r="AJ188" s="6">
        <v>1</v>
      </c>
      <c r="AK188" s="5"/>
      <c r="AL188" s="6">
        <v>43</v>
      </c>
    </row>
    <row r="189" spans="1:38" ht="11.1" customHeight="1" x14ac:dyDescent="0.2">
      <c r="A189" s="4" t="s">
        <v>409</v>
      </c>
      <c r="B189" s="4" t="s">
        <v>410</v>
      </c>
      <c r="C189" s="4" t="s">
        <v>1367</v>
      </c>
      <c r="D189" s="4">
        <v>20</v>
      </c>
      <c r="E189" s="5"/>
      <c r="F189" s="5"/>
      <c r="G189" s="5"/>
      <c r="H189" s="5"/>
      <c r="I189" s="5"/>
      <c r="J189" s="5"/>
      <c r="K189" s="5"/>
      <c r="L189" s="6">
        <v>34</v>
      </c>
      <c r="M189" s="6">
        <v>81</v>
      </c>
      <c r="N189" s="6">
        <v>48</v>
      </c>
      <c r="O189" s="6">
        <v>158</v>
      </c>
      <c r="P189" s="6">
        <v>92</v>
      </c>
      <c r="Q189" s="6">
        <v>81</v>
      </c>
      <c r="R189" s="6">
        <v>73</v>
      </c>
      <c r="S189" s="6">
        <v>63</v>
      </c>
      <c r="T189" s="6">
        <v>133</v>
      </c>
      <c r="U189" s="6">
        <v>20</v>
      </c>
      <c r="V189" s="6">
        <v>98</v>
      </c>
      <c r="W189" s="6">
        <v>35</v>
      </c>
      <c r="X189" s="6">
        <v>277</v>
      </c>
      <c r="Y189" s="6">
        <v>15</v>
      </c>
      <c r="Z189" s="6">
        <v>117</v>
      </c>
      <c r="AA189" s="6">
        <v>27</v>
      </c>
      <c r="AB189" s="6">
        <v>70</v>
      </c>
      <c r="AC189" s="6">
        <v>5</v>
      </c>
      <c r="AD189" s="6">
        <v>73</v>
      </c>
      <c r="AE189" s="6">
        <v>-28</v>
      </c>
      <c r="AF189" s="6">
        <v>28</v>
      </c>
      <c r="AG189" s="6">
        <v>29</v>
      </c>
      <c r="AH189" s="6">
        <v>91</v>
      </c>
      <c r="AI189" s="6">
        <v>10</v>
      </c>
      <c r="AJ189" s="6">
        <v>14</v>
      </c>
      <c r="AK189" s="6">
        <v>32</v>
      </c>
      <c r="AL189" s="7">
        <v>1676</v>
      </c>
    </row>
    <row r="190" spans="1:38" ht="11.1" customHeight="1" x14ac:dyDescent="0.2">
      <c r="A190" s="4" t="s">
        <v>411</v>
      </c>
      <c r="B190" s="4" t="s">
        <v>412</v>
      </c>
      <c r="C190" s="4" t="s">
        <v>1368</v>
      </c>
      <c r="D190" s="4">
        <v>10</v>
      </c>
      <c r="E190" s="5"/>
      <c r="F190" s="5"/>
      <c r="G190" s="5"/>
      <c r="H190" s="5"/>
      <c r="I190" s="5"/>
      <c r="J190" s="5"/>
      <c r="K190" s="5"/>
      <c r="L190" s="6">
        <v>30</v>
      </c>
      <c r="M190" s="6">
        <v>42</v>
      </c>
      <c r="N190" s="6">
        <v>27</v>
      </c>
      <c r="O190" s="6">
        <v>71</v>
      </c>
      <c r="P190" s="6">
        <v>14</v>
      </c>
      <c r="Q190" s="6">
        <v>74</v>
      </c>
      <c r="R190" s="6">
        <v>4</v>
      </c>
      <c r="S190" s="6">
        <v>53</v>
      </c>
      <c r="T190" s="6">
        <v>126</v>
      </c>
      <c r="U190" s="6">
        <v>10</v>
      </c>
      <c r="V190" s="6">
        <v>5</v>
      </c>
      <c r="W190" s="6">
        <v>1</v>
      </c>
      <c r="X190" s="6">
        <v>73</v>
      </c>
      <c r="Y190" s="6">
        <v>-15</v>
      </c>
      <c r="Z190" s="6">
        <v>56</v>
      </c>
      <c r="AA190" s="6">
        <v>15</v>
      </c>
      <c r="AB190" s="6">
        <v>2</v>
      </c>
      <c r="AC190" s="5"/>
      <c r="AD190" s="6">
        <v>28</v>
      </c>
      <c r="AE190" s="6">
        <v>-10</v>
      </c>
      <c r="AF190" s="6">
        <v>23</v>
      </c>
      <c r="AG190" s="6">
        <v>22</v>
      </c>
      <c r="AH190" s="6">
        <v>71</v>
      </c>
      <c r="AI190" s="6">
        <v>16</v>
      </c>
      <c r="AJ190" s="6">
        <v>3</v>
      </c>
      <c r="AK190" s="6">
        <v>32</v>
      </c>
      <c r="AL190" s="6">
        <v>773</v>
      </c>
    </row>
    <row r="191" spans="1:38" ht="11.1" customHeight="1" x14ac:dyDescent="0.2">
      <c r="A191" s="4" t="s">
        <v>413</v>
      </c>
      <c r="B191" s="4" t="s">
        <v>414</v>
      </c>
      <c r="C191" s="4" t="s">
        <v>1369</v>
      </c>
      <c r="D191" s="4">
        <v>5</v>
      </c>
      <c r="E191" s="5"/>
      <c r="F191" s="5"/>
      <c r="G191" s="5"/>
      <c r="H191" s="5"/>
      <c r="I191" s="5"/>
      <c r="J191" s="5"/>
      <c r="K191" s="5"/>
      <c r="L191" s="6">
        <v>20</v>
      </c>
      <c r="M191" s="6">
        <v>27</v>
      </c>
      <c r="N191" s="6">
        <v>25</v>
      </c>
      <c r="O191" s="6">
        <v>23</v>
      </c>
      <c r="P191" s="6">
        <v>2</v>
      </c>
      <c r="Q191" s="6">
        <v>20</v>
      </c>
      <c r="R191" s="6">
        <v>31</v>
      </c>
      <c r="S191" s="6">
        <v>16</v>
      </c>
      <c r="T191" s="6">
        <v>41</v>
      </c>
      <c r="U191" s="6">
        <v>6</v>
      </c>
      <c r="V191" s="6">
        <v>3</v>
      </c>
      <c r="W191" s="6">
        <v>55</v>
      </c>
      <c r="X191" s="6">
        <v>27</v>
      </c>
      <c r="Y191" s="6">
        <v>-18</v>
      </c>
      <c r="Z191" s="6">
        <v>30</v>
      </c>
      <c r="AA191" s="6">
        <v>4</v>
      </c>
      <c r="AB191" s="6">
        <v>20</v>
      </c>
      <c r="AC191" s="6">
        <v>10</v>
      </c>
      <c r="AD191" s="6">
        <v>2</v>
      </c>
      <c r="AE191" s="5"/>
      <c r="AF191" s="6">
        <v>2</v>
      </c>
      <c r="AG191" s="5"/>
      <c r="AH191" s="6">
        <v>12</v>
      </c>
      <c r="AI191" s="5"/>
      <c r="AJ191" s="6">
        <v>4</v>
      </c>
      <c r="AK191" s="6">
        <v>17</v>
      </c>
      <c r="AL191" s="6">
        <v>379</v>
      </c>
    </row>
    <row r="192" spans="1:38" ht="11.1" customHeight="1" x14ac:dyDescent="0.2">
      <c r="A192" s="4" t="s">
        <v>415</v>
      </c>
      <c r="B192" s="4" t="s">
        <v>416</v>
      </c>
      <c r="C192" s="4" t="s">
        <v>1370</v>
      </c>
      <c r="D192" s="4">
        <v>5</v>
      </c>
      <c r="E192" s="5"/>
      <c r="F192" s="5"/>
      <c r="G192" s="5"/>
      <c r="H192" s="5"/>
      <c r="I192" s="5"/>
      <c r="J192" s="5"/>
      <c r="K192" s="5"/>
      <c r="L192" s="6">
        <v>10</v>
      </c>
      <c r="M192" s="6">
        <v>12</v>
      </c>
      <c r="N192" s="6">
        <v>14</v>
      </c>
      <c r="O192" s="6">
        <v>10</v>
      </c>
      <c r="P192" s="6">
        <v>3</v>
      </c>
      <c r="Q192" s="6">
        <v>3</v>
      </c>
      <c r="R192" s="6">
        <v>4</v>
      </c>
      <c r="S192" s="6">
        <v>5</v>
      </c>
      <c r="T192" s="6">
        <v>2</v>
      </c>
      <c r="U192" s="6">
        <v>3</v>
      </c>
      <c r="V192" s="6">
        <v>2</v>
      </c>
      <c r="W192" s="5"/>
      <c r="X192" s="6">
        <v>22</v>
      </c>
      <c r="Y192" s="5"/>
      <c r="Z192" s="6">
        <v>9</v>
      </c>
      <c r="AA192" s="5"/>
      <c r="AB192" s="6">
        <v>1</v>
      </c>
      <c r="AC192" s="5"/>
      <c r="AD192" s="6">
        <v>10</v>
      </c>
      <c r="AE192" s="6">
        <v>-2</v>
      </c>
      <c r="AF192" s="5"/>
      <c r="AG192" s="6">
        <v>2</v>
      </c>
      <c r="AH192" s="6">
        <v>9</v>
      </c>
      <c r="AI192" s="6">
        <v>2</v>
      </c>
      <c r="AJ192" s="5"/>
      <c r="AK192" s="6">
        <v>4</v>
      </c>
      <c r="AL192" s="6">
        <v>125</v>
      </c>
    </row>
    <row r="193" spans="1:38" ht="11.1" customHeight="1" x14ac:dyDescent="0.2">
      <c r="A193" s="4" t="s">
        <v>417</v>
      </c>
      <c r="B193" s="4" t="s">
        <v>418</v>
      </c>
      <c r="C193" s="4" t="s">
        <v>1371</v>
      </c>
      <c r="D193" s="4">
        <v>5</v>
      </c>
      <c r="E193" s="5"/>
      <c r="F193" s="5"/>
      <c r="G193" s="5"/>
      <c r="H193" s="5"/>
      <c r="I193" s="5"/>
      <c r="J193" s="5"/>
      <c r="K193" s="5"/>
      <c r="L193" s="6">
        <v>10</v>
      </c>
      <c r="M193" s="6">
        <v>13</v>
      </c>
      <c r="N193" s="6">
        <v>11</v>
      </c>
      <c r="O193" s="6">
        <v>10</v>
      </c>
      <c r="P193" s="6">
        <v>1</v>
      </c>
      <c r="Q193" s="5"/>
      <c r="R193" s="5"/>
      <c r="S193" s="5"/>
      <c r="T193" s="5"/>
      <c r="U193" s="5"/>
      <c r="V193" s="6">
        <v>1</v>
      </c>
      <c r="W193" s="5"/>
      <c r="X193" s="5"/>
      <c r="Y193" s="6">
        <v>-10</v>
      </c>
      <c r="Z193" s="6">
        <v>1</v>
      </c>
      <c r="AA193" s="5"/>
      <c r="AB193" s="5"/>
      <c r="AC193" s="5"/>
      <c r="AD193" s="6">
        <v>6</v>
      </c>
      <c r="AE193" s="6">
        <v>-8</v>
      </c>
      <c r="AF193" s="5"/>
      <c r="AG193" s="5"/>
      <c r="AH193" s="5"/>
      <c r="AI193" s="5"/>
      <c r="AJ193" s="5"/>
      <c r="AK193" s="5"/>
      <c r="AL193" s="6">
        <v>35</v>
      </c>
    </row>
    <row r="194" spans="1:38" ht="11.1" customHeight="1" x14ac:dyDescent="0.2">
      <c r="A194" s="4" t="s">
        <v>419</v>
      </c>
      <c r="B194" s="4" t="s">
        <v>420</v>
      </c>
      <c r="C194" s="4" t="s">
        <v>1372</v>
      </c>
      <c r="D194" s="4">
        <v>10</v>
      </c>
      <c r="E194" s="5"/>
      <c r="F194" s="5"/>
      <c r="G194" s="5"/>
      <c r="H194" s="5"/>
      <c r="I194" s="5"/>
      <c r="J194" s="5"/>
      <c r="K194" s="5"/>
      <c r="L194" s="6">
        <v>10</v>
      </c>
      <c r="M194" s="6">
        <v>13</v>
      </c>
      <c r="N194" s="5"/>
      <c r="O194" s="6">
        <v>10</v>
      </c>
      <c r="P194" s="6">
        <v>1</v>
      </c>
      <c r="Q194" s="6">
        <v>31</v>
      </c>
      <c r="R194" s="6">
        <v>3</v>
      </c>
      <c r="S194" s="6">
        <v>11</v>
      </c>
      <c r="T194" s="6">
        <v>36</v>
      </c>
      <c r="U194" s="5"/>
      <c r="V194" s="6">
        <v>15</v>
      </c>
      <c r="W194" s="6">
        <v>5</v>
      </c>
      <c r="X194" s="6">
        <v>11</v>
      </c>
      <c r="Y194" s="6">
        <v>-10</v>
      </c>
      <c r="Z194" s="6">
        <v>16</v>
      </c>
      <c r="AA194" s="5"/>
      <c r="AB194" s="5"/>
      <c r="AC194" s="5"/>
      <c r="AD194" s="5"/>
      <c r="AE194" s="6">
        <v>-9</v>
      </c>
      <c r="AF194" s="5"/>
      <c r="AG194" s="6">
        <v>12</v>
      </c>
      <c r="AH194" s="6">
        <v>26</v>
      </c>
      <c r="AI194" s="6">
        <v>2</v>
      </c>
      <c r="AJ194" s="5"/>
      <c r="AK194" s="6">
        <v>10</v>
      </c>
      <c r="AL194" s="6">
        <v>193</v>
      </c>
    </row>
    <row r="195" spans="1:38" ht="11.1" customHeight="1" x14ac:dyDescent="0.2">
      <c r="A195" s="4" t="s">
        <v>421</v>
      </c>
      <c r="B195" s="4" t="s">
        <v>422</v>
      </c>
      <c r="C195" s="4" t="s">
        <v>1373</v>
      </c>
      <c r="D195" s="4">
        <v>5</v>
      </c>
      <c r="E195" s="5"/>
      <c r="F195" s="5"/>
      <c r="G195" s="5"/>
      <c r="H195" s="5"/>
      <c r="I195" s="5"/>
      <c r="J195" s="5"/>
      <c r="K195" s="5"/>
      <c r="L195" s="6">
        <v>6</v>
      </c>
      <c r="M195" s="5"/>
      <c r="N195" s="6">
        <v>1</v>
      </c>
      <c r="O195" s="6">
        <v>10</v>
      </c>
      <c r="P195" s="5"/>
      <c r="Q195" s="5"/>
      <c r="R195" s="5"/>
      <c r="S195" s="5"/>
      <c r="T195" s="5"/>
      <c r="U195" s="5"/>
      <c r="V195" s="5"/>
      <c r="W195" s="5"/>
      <c r="X195" s="5"/>
      <c r="Y195" s="6">
        <v>-5</v>
      </c>
      <c r="Z195" s="6">
        <v>12</v>
      </c>
      <c r="AA195" s="5"/>
      <c r="AB195" s="5"/>
      <c r="AC195" s="5"/>
      <c r="AD195" s="6">
        <v>20</v>
      </c>
      <c r="AE195" s="6">
        <v>-8</v>
      </c>
      <c r="AF195" s="5"/>
      <c r="AG195" s="5"/>
      <c r="AH195" s="5"/>
      <c r="AI195" s="5"/>
      <c r="AJ195" s="5"/>
      <c r="AK195" s="5"/>
      <c r="AL195" s="6">
        <v>36</v>
      </c>
    </row>
    <row r="196" spans="1:38" ht="11.1" customHeight="1" x14ac:dyDescent="0.2">
      <c r="A196" s="4" t="s">
        <v>423</v>
      </c>
      <c r="B196" s="4" t="s">
        <v>424</v>
      </c>
      <c r="C196" s="4" t="s">
        <v>1374</v>
      </c>
      <c r="D196" s="4">
        <v>5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6">
        <v>3</v>
      </c>
      <c r="P196" s="5"/>
      <c r="Q196" s="6">
        <v>10</v>
      </c>
      <c r="R196" s="5"/>
      <c r="S196" s="6">
        <v>2</v>
      </c>
      <c r="T196" s="6">
        <v>2</v>
      </c>
      <c r="U196" s="5"/>
      <c r="V196" s="5"/>
      <c r="W196" s="5"/>
      <c r="X196" s="5"/>
      <c r="Y196" s="5"/>
      <c r="Z196" s="6">
        <v>1</v>
      </c>
      <c r="AA196" s="5"/>
      <c r="AB196" s="5"/>
      <c r="AC196" s="5"/>
      <c r="AD196" s="5"/>
      <c r="AE196" s="6">
        <v>-4</v>
      </c>
      <c r="AF196" s="5"/>
      <c r="AG196" s="6">
        <v>1</v>
      </c>
      <c r="AH196" s="5"/>
      <c r="AI196" s="5"/>
      <c r="AJ196" s="6">
        <v>2</v>
      </c>
      <c r="AK196" s="6">
        <v>4</v>
      </c>
      <c r="AL196" s="6">
        <v>21</v>
      </c>
    </row>
    <row r="197" spans="1:38" ht="11.1" customHeight="1" x14ac:dyDescent="0.2">
      <c r="A197" s="4" t="s">
        <v>425</v>
      </c>
      <c r="B197" s="4" t="s">
        <v>426</v>
      </c>
      <c r="C197" s="4" t="s">
        <v>1375</v>
      </c>
      <c r="D197" s="4">
        <v>5</v>
      </c>
      <c r="E197" s="5"/>
      <c r="F197" s="5"/>
      <c r="G197" s="5"/>
      <c r="H197" s="5"/>
      <c r="I197" s="5"/>
      <c r="J197" s="5"/>
      <c r="K197" s="5"/>
      <c r="L197" s="6">
        <v>6</v>
      </c>
      <c r="M197" s="6">
        <v>2</v>
      </c>
      <c r="N197" s="5"/>
      <c r="O197" s="6">
        <v>10</v>
      </c>
      <c r="P197" s="5"/>
      <c r="Q197" s="6">
        <v>1</v>
      </c>
      <c r="R197" s="5"/>
      <c r="S197" s="5"/>
      <c r="T197" s="5"/>
      <c r="U197" s="5"/>
      <c r="V197" s="6">
        <v>1</v>
      </c>
      <c r="W197" s="5"/>
      <c r="X197" s="5"/>
      <c r="Y197" s="6">
        <v>-5</v>
      </c>
      <c r="Z197" s="5"/>
      <c r="AA197" s="5"/>
      <c r="AB197" s="5"/>
      <c r="AC197" s="5"/>
      <c r="AD197" s="5"/>
      <c r="AE197" s="6">
        <v>-9</v>
      </c>
      <c r="AF197" s="5"/>
      <c r="AG197" s="5"/>
      <c r="AH197" s="5"/>
      <c r="AI197" s="5"/>
      <c r="AJ197" s="5"/>
      <c r="AK197" s="5"/>
      <c r="AL197" s="6">
        <v>6</v>
      </c>
    </row>
    <row r="198" spans="1:38" ht="23.1" customHeight="1" x14ac:dyDescent="0.2">
      <c r="A198" s="4" t="s">
        <v>427</v>
      </c>
      <c r="B198" s="4" t="s">
        <v>428</v>
      </c>
      <c r="C198" s="4" t="s">
        <v>1376</v>
      </c>
      <c r="D198" s="4">
        <v>1</v>
      </c>
      <c r="E198" s="5"/>
      <c r="F198" s="5"/>
      <c r="G198" s="5"/>
      <c r="H198" s="5"/>
      <c r="I198" s="5"/>
      <c r="J198" s="5"/>
      <c r="K198" s="5"/>
      <c r="L198" s="5"/>
      <c r="M198" s="6">
        <v>9</v>
      </c>
      <c r="N198" s="5"/>
      <c r="O198" s="5"/>
      <c r="P198" s="5"/>
      <c r="Q198" s="5"/>
      <c r="R198" s="6">
        <v>2</v>
      </c>
      <c r="S198" s="5"/>
      <c r="T198" s="5"/>
      <c r="U198" s="5"/>
      <c r="V198" s="5"/>
      <c r="W198" s="5"/>
      <c r="X198" s="5"/>
      <c r="Y198" s="5"/>
      <c r="Z198" s="5"/>
      <c r="AA198" s="6">
        <v>1</v>
      </c>
      <c r="AB198" s="5"/>
      <c r="AC198" s="5"/>
      <c r="AD198" s="5"/>
      <c r="AE198" s="5"/>
      <c r="AF198" s="5"/>
      <c r="AG198" s="5"/>
      <c r="AH198" s="6">
        <v>7</v>
      </c>
      <c r="AI198" s="5"/>
      <c r="AJ198" s="5"/>
      <c r="AK198" s="5"/>
      <c r="AL198" s="6">
        <v>19</v>
      </c>
    </row>
    <row r="199" spans="1:38" ht="23.1" customHeight="1" x14ac:dyDescent="0.2">
      <c r="A199" s="4" t="s">
        <v>429</v>
      </c>
      <c r="B199" s="4" t="s">
        <v>430</v>
      </c>
      <c r="C199" s="4" t="s">
        <v>1377</v>
      </c>
      <c r="D199" s="4">
        <v>1</v>
      </c>
      <c r="E199" s="5"/>
      <c r="F199" s="5"/>
      <c r="G199" s="5"/>
      <c r="H199" s="5"/>
      <c r="I199" s="5"/>
      <c r="J199" s="5"/>
      <c r="K199" s="5"/>
      <c r="L199" s="6">
        <v>3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6">
        <v>6</v>
      </c>
      <c r="AK199" s="5"/>
      <c r="AL199" s="6">
        <v>9</v>
      </c>
    </row>
    <row r="200" spans="1:38" ht="11.1" customHeight="1" x14ac:dyDescent="0.2">
      <c r="A200" s="4" t="s">
        <v>431</v>
      </c>
      <c r="B200" s="4" t="s">
        <v>432</v>
      </c>
      <c r="C200" s="4" t="s">
        <v>1378</v>
      </c>
      <c r="D200" s="4">
        <v>10</v>
      </c>
      <c r="E200" s="5"/>
      <c r="F200" s="5"/>
      <c r="G200" s="5"/>
      <c r="H200" s="5"/>
      <c r="I200" s="5"/>
      <c r="J200" s="5"/>
      <c r="K200" s="5"/>
      <c r="L200" s="6">
        <v>10</v>
      </c>
      <c r="M200" s="6">
        <v>10</v>
      </c>
      <c r="N200" s="6">
        <v>10</v>
      </c>
      <c r="O200" s="5"/>
      <c r="P200" s="5"/>
      <c r="Q200" s="6">
        <v>15</v>
      </c>
      <c r="R200" s="5"/>
      <c r="S200" s="6">
        <v>5</v>
      </c>
      <c r="T200" s="6">
        <v>47</v>
      </c>
      <c r="U200" s="5"/>
      <c r="V200" s="6">
        <v>3</v>
      </c>
      <c r="W200" s="5"/>
      <c r="X200" s="5"/>
      <c r="Y200" s="6">
        <v>-10</v>
      </c>
      <c r="Z200" s="6">
        <v>2</v>
      </c>
      <c r="AA200" s="5"/>
      <c r="AB200" s="5"/>
      <c r="AC200" s="5"/>
      <c r="AD200" s="6">
        <v>2</v>
      </c>
      <c r="AE200" s="6">
        <v>-5</v>
      </c>
      <c r="AF200" s="5"/>
      <c r="AG200" s="5"/>
      <c r="AH200" s="5"/>
      <c r="AI200" s="5"/>
      <c r="AJ200" s="5"/>
      <c r="AK200" s="5"/>
      <c r="AL200" s="6">
        <v>89</v>
      </c>
    </row>
    <row r="201" spans="1:38" ht="11.1" customHeight="1" x14ac:dyDescent="0.2">
      <c r="A201" s="4" t="s">
        <v>433</v>
      </c>
      <c r="B201" s="4" t="s">
        <v>434</v>
      </c>
      <c r="C201" s="4" t="s">
        <v>1379</v>
      </c>
      <c r="D201" s="4">
        <v>5</v>
      </c>
      <c r="E201" s="5"/>
      <c r="F201" s="5"/>
      <c r="G201" s="5"/>
      <c r="H201" s="5"/>
      <c r="I201" s="5"/>
      <c r="J201" s="5"/>
      <c r="K201" s="5"/>
      <c r="L201" s="6">
        <v>4</v>
      </c>
      <c r="M201" s="6">
        <v>106</v>
      </c>
      <c r="N201" s="6">
        <v>38</v>
      </c>
      <c r="O201" s="6">
        <v>252</v>
      </c>
      <c r="P201" s="6">
        <v>193</v>
      </c>
      <c r="Q201" s="6">
        <v>243</v>
      </c>
      <c r="R201" s="6">
        <v>219</v>
      </c>
      <c r="S201" s="6">
        <v>254</v>
      </c>
      <c r="T201" s="6">
        <v>432</v>
      </c>
      <c r="U201" s="6">
        <v>69</v>
      </c>
      <c r="V201" s="6">
        <v>78</v>
      </c>
      <c r="W201" s="6">
        <v>111</v>
      </c>
      <c r="X201" s="6">
        <v>156</v>
      </c>
      <c r="Y201" s="6">
        <v>144</v>
      </c>
      <c r="Z201" s="6">
        <v>32</v>
      </c>
      <c r="AA201" s="6">
        <v>17</v>
      </c>
      <c r="AB201" s="6">
        <v>20</v>
      </c>
      <c r="AC201" s="6">
        <v>45</v>
      </c>
      <c r="AD201" s="6">
        <v>45</v>
      </c>
      <c r="AE201" s="6">
        <v>41</v>
      </c>
      <c r="AF201" s="6">
        <v>170</v>
      </c>
      <c r="AG201" s="6">
        <v>65</v>
      </c>
      <c r="AH201" s="6">
        <v>151</v>
      </c>
      <c r="AI201" s="6">
        <v>108</v>
      </c>
      <c r="AJ201" s="6">
        <v>211</v>
      </c>
      <c r="AK201" s="6">
        <v>44</v>
      </c>
      <c r="AL201" s="7">
        <v>3248</v>
      </c>
    </row>
    <row r="202" spans="1:38" ht="11.1" customHeight="1" x14ac:dyDescent="0.2">
      <c r="A202" s="4" t="s">
        <v>435</v>
      </c>
      <c r="B202" s="4" t="s">
        <v>436</v>
      </c>
      <c r="C202" s="4" t="s">
        <v>1380</v>
      </c>
      <c r="D202" s="4">
        <v>5</v>
      </c>
      <c r="E202" s="5"/>
      <c r="F202" s="5"/>
      <c r="G202" s="5"/>
      <c r="H202" s="5"/>
      <c r="I202" s="5"/>
      <c r="J202" s="5"/>
      <c r="K202" s="5"/>
      <c r="L202" s="6">
        <v>4</v>
      </c>
      <c r="M202" s="6">
        <v>45</v>
      </c>
      <c r="N202" s="6">
        <v>24</v>
      </c>
      <c r="O202" s="6">
        <v>40</v>
      </c>
      <c r="P202" s="6">
        <v>25</v>
      </c>
      <c r="Q202" s="6">
        <v>30</v>
      </c>
      <c r="R202" s="6">
        <v>17</v>
      </c>
      <c r="S202" s="6">
        <v>49</v>
      </c>
      <c r="T202" s="6">
        <v>48</v>
      </c>
      <c r="U202" s="6">
        <v>6</v>
      </c>
      <c r="V202" s="6">
        <v>5</v>
      </c>
      <c r="W202" s="6">
        <v>36</v>
      </c>
      <c r="X202" s="6">
        <v>38</v>
      </c>
      <c r="Y202" s="6">
        <v>38</v>
      </c>
      <c r="Z202" s="6">
        <v>15</v>
      </c>
      <c r="AA202" s="6">
        <v>6</v>
      </c>
      <c r="AB202" s="6">
        <v>16</v>
      </c>
      <c r="AC202" s="6">
        <v>14</v>
      </c>
      <c r="AD202" s="6">
        <v>5</v>
      </c>
      <c r="AE202" s="6">
        <v>4</v>
      </c>
      <c r="AF202" s="6">
        <v>30</v>
      </c>
      <c r="AG202" s="6">
        <v>15</v>
      </c>
      <c r="AH202" s="6">
        <v>15</v>
      </c>
      <c r="AI202" s="6">
        <v>25</v>
      </c>
      <c r="AJ202" s="6">
        <v>61</v>
      </c>
      <c r="AK202" s="5"/>
      <c r="AL202" s="6">
        <v>611</v>
      </c>
    </row>
    <row r="203" spans="1:38" ht="11.1" customHeight="1" x14ac:dyDescent="0.2">
      <c r="A203" s="4" t="s">
        <v>437</v>
      </c>
      <c r="B203" s="4" t="s">
        <v>438</v>
      </c>
      <c r="C203" s="4" t="s">
        <v>1381</v>
      </c>
      <c r="D203" s="4">
        <v>5</v>
      </c>
      <c r="E203" s="5"/>
      <c r="F203" s="5"/>
      <c r="G203" s="5"/>
      <c r="H203" s="5"/>
      <c r="I203" s="5"/>
      <c r="J203" s="5"/>
      <c r="K203" s="5"/>
      <c r="L203" s="5"/>
      <c r="M203" s="6">
        <v>10</v>
      </c>
      <c r="N203" s="6">
        <v>10</v>
      </c>
      <c r="O203" s="6">
        <v>3</v>
      </c>
      <c r="P203" s="6">
        <v>1</v>
      </c>
      <c r="Q203" s="6">
        <v>16</v>
      </c>
      <c r="R203" s="6">
        <v>3</v>
      </c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6">
        <v>2</v>
      </c>
      <c r="AK203" s="5"/>
      <c r="AL203" s="6">
        <v>45</v>
      </c>
    </row>
    <row r="204" spans="1:38" ht="11.1" customHeight="1" x14ac:dyDescent="0.2">
      <c r="A204" s="4" t="s">
        <v>439</v>
      </c>
      <c r="B204" s="4" t="s">
        <v>440</v>
      </c>
      <c r="C204" s="4" t="s">
        <v>1382</v>
      </c>
      <c r="D204" s="4">
        <v>5</v>
      </c>
      <c r="E204" s="5"/>
      <c r="F204" s="5"/>
      <c r="G204" s="5"/>
      <c r="H204" s="5"/>
      <c r="I204" s="5"/>
      <c r="J204" s="5"/>
      <c r="K204" s="5"/>
      <c r="L204" s="5"/>
      <c r="M204" s="6">
        <v>26</v>
      </c>
      <c r="N204" s="6">
        <v>18</v>
      </c>
      <c r="O204" s="6">
        <v>79</v>
      </c>
      <c r="P204" s="6">
        <v>21</v>
      </c>
      <c r="Q204" s="6">
        <v>1</v>
      </c>
      <c r="R204" s="6">
        <v>37</v>
      </c>
      <c r="S204" s="6">
        <v>77</v>
      </c>
      <c r="T204" s="6">
        <v>29</v>
      </c>
      <c r="U204" s="6">
        <v>8</v>
      </c>
      <c r="V204" s="6">
        <v>36</v>
      </c>
      <c r="W204" s="6">
        <v>22</v>
      </c>
      <c r="X204" s="6">
        <v>16</v>
      </c>
      <c r="Y204" s="6">
        <v>17</v>
      </c>
      <c r="Z204" s="6">
        <v>13</v>
      </c>
      <c r="AA204" s="6">
        <v>2</v>
      </c>
      <c r="AB204" s="6">
        <v>1</v>
      </c>
      <c r="AC204" s="6">
        <v>17</v>
      </c>
      <c r="AD204" s="6">
        <v>4</v>
      </c>
      <c r="AE204" s="6">
        <v>6</v>
      </c>
      <c r="AF204" s="6">
        <v>29</v>
      </c>
      <c r="AG204" s="6">
        <v>11</v>
      </c>
      <c r="AH204" s="6">
        <v>21</v>
      </c>
      <c r="AI204" s="6">
        <v>4</v>
      </c>
      <c r="AJ204" s="6">
        <v>22</v>
      </c>
      <c r="AK204" s="6">
        <v>1</v>
      </c>
      <c r="AL204" s="6">
        <v>518</v>
      </c>
    </row>
    <row r="205" spans="1:38" ht="11.1" customHeight="1" x14ac:dyDescent="0.2">
      <c r="A205" s="4" t="s">
        <v>441</v>
      </c>
      <c r="B205" s="4" t="s">
        <v>442</v>
      </c>
      <c r="C205" s="4" t="s">
        <v>1383</v>
      </c>
      <c r="D205" s="4">
        <v>5</v>
      </c>
      <c r="E205" s="5"/>
      <c r="F205" s="5"/>
      <c r="G205" s="5"/>
      <c r="H205" s="5"/>
      <c r="I205" s="5"/>
      <c r="J205" s="5"/>
      <c r="K205" s="5"/>
      <c r="L205" s="5"/>
      <c r="M205" s="6">
        <v>11</v>
      </c>
      <c r="N205" s="6">
        <v>10</v>
      </c>
      <c r="O205" s="6">
        <v>1</v>
      </c>
      <c r="P205" s="5"/>
      <c r="Q205" s="6">
        <v>18</v>
      </c>
      <c r="R205" s="6">
        <v>10</v>
      </c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6">
        <v>1</v>
      </c>
      <c r="AK205" s="5"/>
      <c r="AL205" s="6">
        <v>51</v>
      </c>
    </row>
    <row r="206" spans="1:38" ht="11.1" customHeight="1" x14ac:dyDescent="0.2">
      <c r="A206" s="4" t="s">
        <v>443</v>
      </c>
      <c r="B206" s="4" t="s">
        <v>444</v>
      </c>
      <c r="C206" s="4" t="s">
        <v>1384</v>
      </c>
      <c r="D206" s="4">
        <v>5</v>
      </c>
      <c r="E206" s="5"/>
      <c r="F206" s="5"/>
      <c r="G206" s="5"/>
      <c r="H206" s="5"/>
      <c r="I206" s="5"/>
      <c r="J206" s="5"/>
      <c r="K206" s="5"/>
      <c r="L206" s="5"/>
      <c r="M206" s="5"/>
      <c r="N206" s="6">
        <v>4</v>
      </c>
      <c r="O206" s="6">
        <v>5</v>
      </c>
      <c r="P206" s="6">
        <v>5</v>
      </c>
      <c r="Q206" s="6">
        <v>21</v>
      </c>
      <c r="R206" s="6">
        <v>11</v>
      </c>
      <c r="S206" s="6">
        <v>4</v>
      </c>
      <c r="T206" s="6">
        <v>16</v>
      </c>
      <c r="U206" s="5"/>
      <c r="V206" s="5"/>
      <c r="W206" s="6">
        <v>5</v>
      </c>
      <c r="X206" s="6">
        <v>12</v>
      </c>
      <c r="Y206" s="6">
        <v>7</v>
      </c>
      <c r="Z206" s="6">
        <v>2</v>
      </c>
      <c r="AA206" s="5"/>
      <c r="AB206" s="5"/>
      <c r="AC206" s="6">
        <v>7</v>
      </c>
      <c r="AD206" s="6">
        <v>2</v>
      </c>
      <c r="AE206" s="6">
        <v>4</v>
      </c>
      <c r="AF206" s="6">
        <v>3</v>
      </c>
      <c r="AG206" s="5"/>
      <c r="AH206" s="6">
        <v>10</v>
      </c>
      <c r="AI206" s="5"/>
      <c r="AJ206" s="6">
        <v>10</v>
      </c>
      <c r="AK206" s="5"/>
      <c r="AL206" s="6">
        <v>128</v>
      </c>
    </row>
    <row r="207" spans="1:38" ht="11.1" customHeight="1" x14ac:dyDescent="0.2">
      <c r="A207" s="4" t="s">
        <v>445</v>
      </c>
      <c r="B207" s="4" t="s">
        <v>446</v>
      </c>
      <c r="C207" s="4" t="s">
        <v>1385</v>
      </c>
      <c r="D207" s="4">
        <v>5</v>
      </c>
      <c r="E207" s="5"/>
      <c r="F207" s="5"/>
      <c r="G207" s="5"/>
      <c r="H207" s="5"/>
      <c r="I207" s="5"/>
      <c r="J207" s="5"/>
      <c r="K207" s="5"/>
      <c r="L207" s="5"/>
      <c r="M207" s="6">
        <v>14</v>
      </c>
      <c r="N207" s="6">
        <v>10</v>
      </c>
      <c r="O207" s="6">
        <v>11</v>
      </c>
      <c r="P207" s="6">
        <v>4</v>
      </c>
      <c r="Q207" s="6">
        <v>1</v>
      </c>
      <c r="R207" s="5"/>
      <c r="S207" s="6">
        <v>20</v>
      </c>
      <c r="T207" s="5"/>
      <c r="U207" s="5"/>
      <c r="V207" s="6">
        <v>27</v>
      </c>
      <c r="W207" s="6">
        <v>9</v>
      </c>
      <c r="X207" s="6">
        <v>14</v>
      </c>
      <c r="Y207" s="6">
        <v>9</v>
      </c>
      <c r="Z207" s="6">
        <v>4</v>
      </c>
      <c r="AA207" s="6">
        <v>3</v>
      </c>
      <c r="AB207" s="5"/>
      <c r="AC207" s="6">
        <v>12</v>
      </c>
      <c r="AD207" s="6">
        <v>3</v>
      </c>
      <c r="AE207" s="6">
        <v>2</v>
      </c>
      <c r="AF207" s="6">
        <v>2</v>
      </c>
      <c r="AG207" s="6">
        <v>2</v>
      </c>
      <c r="AH207" s="6">
        <v>8</v>
      </c>
      <c r="AI207" s="5"/>
      <c r="AJ207" s="6">
        <v>19</v>
      </c>
      <c r="AK207" s="6">
        <v>2</v>
      </c>
      <c r="AL207" s="6">
        <v>176</v>
      </c>
    </row>
    <row r="208" spans="1:38" ht="11.1" customHeight="1" x14ac:dyDescent="0.2">
      <c r="A208" s="4" t="s">
        <v>447</v>
      </c>
      <c r="B208" s="4" t="s">
        <v>448</v>
      </c>
      <c r="C208" s="4" t="s">
        <v>1386</v>
      </c>
      <c r="D208" s="4">
        <v>5</v>
      </c>
      <c r="E208" s="5"/>
      <c r="F208" s="5"/>
      <c r="G208" s="5"/>
      <c r="H208" s="5"/>
      <c r="I208" s="5"/>
      <c r="J208" s="5"/>
      <c r="K208" s="5"/>
      <c r="L208" s="5"/>
      <c r="M208" s="6">
        <v>10</v>
      </c>
      <c r="N208" s="6">
        <v>10</v>
      </c>
      <c r="O208" s="6">
        <v>4</v>
      </c>
      <c r="P208" s="5"/>
      <c r="Q208" s="5"/>
      <c r="R208" s="6">
        <v>2</v>
      </c>
      <c r="S208" s="6">
        <v>6</v>
      </c>
      <c r="T208" s="6">
        <v>1</v>
      </c>
      <c r="U208" s="5"/>
      <c r="V208" s="5"/>
      <c r="W208" s="5"/>
      <c r="X208" s="6">
        <v>3</v>
      </c>
      <c r="Y208" s="5"/>
      <c r="Z208" s="5"/>
      <c r="AA208" s="6">
        <v>2</v>
      </c>
      <c r="AB208" s="5"/>
      <c r="AC208" s="5"/>
      <c r="AD208" s="6">
        <v>6</v>
      </c>
      <c r="AE208" s="5"/>
      <c r="AF208" s="5"/>
      <c r="AG208" s="5"/>
      <c r="AH208" s="6">
        <v>2</v>
      </c>
      <c r="AI208" s="5"/>
      <c r="AJ208" s="6">
        <v>4</v>
      </c>
      <c r="AK208" s="5"/>
      <c r="AL208" s="6">
        <v>50</v>
      </c>
    </row>
    <row r="209" spans="1:38" ht="11.1" customHeight="1" x14ac:dyDescent="0.2">
      <c r="A209" s="4" t="s">
        <v>449</v>
      </c>
      <c r="B209" s="4" t="s">
        <v>450</v>
      </c>
      <c r="C209" s="4" t="s">
        <v>1387</v>
      </c>
      <c r="D209" s="4">
        <v>1</v>
      </c>
      <c r="E209" s="5"/>
      <c r="F209" s="5"/>
      <c r="G209" s="5"/>
      <c r="H209" s="5"/>
      <c r="I209" s="5"/>
      <c r="J209" s="5"/>
      <c r="K209" s="5"/>
      <c r="L209" s="5"/>
      <c r="M209" s="5"/>
      <c r="N209" s="6">
        <v>2</v>
      </c>
      <c r="O209" s="5"/>
      <c r="P209" s="5"/>
      <c r="Q209" s="6">
        <v>3</v>
      </c>
      <c r="R209" s="6">
        <v>2</v>
      </c>
      <c r="S209" s="5"/>
      <c r="T209" s="5"/>
      <c r="U209" s="5"/>
      <c r="V209" s="5"/>
      <c r="W209" s="6">
        <v>1</v>
      </c>
      <c r="X209" s="5"/>
      <c r="Y209" s="5"/>
      <c r="Z209" s="5"/>
      <c r="AA209" s="5"/>
      <c r="AB209" s="6">
        <v>2</v>
      </c>
      <c r="AC209" s="5"/>
      <c r="AD209" s="6">
        <v>18</v>
      </c>
      <c r="AE209" s="5"/>
      <c r="AF209" s="5"/>
      <c r="AG209" s="5"/>
      <c r="AH209" s="5"/>
      <c r="AI209" s="5"/>
      <c r="AJ209" s="5"/>
      <c r="AK209" s="5"/>
      <c r="AL209" s="6">
        <v>28</v>
      </c>
    </row>
    <row r="210" spans="1:38" ht="11.1" customHeight="1" x14ac:dyDescent="0.2">
      <c r="A210" s="4" t="s">
        <v>451</v>
      </c>
      <c r="B210" s="4" t="s">
        <v>452</v>
      </c>
      <c r="C210" s="4" t="s">
        <v>1388</v>
      </c>
      <c r="D210" s="4">
        <v>5</v>
      </c>
      <c r="E210" s="5"/>
      <c r="F210" s="5"/>
      <c r="G210" s="5"/>
      <c r="H210" s="5"/>
      <c r="I210" s="5"/>
      <c r="J210" s="5"/>
      <c r="K210" s="5"/>
      <c r="L210" s="5"/>
      <c r="M210" s="6">
        <v>10</v>
      </c>
      <c r="N210" s="6">
        <v>76</v>
      </c>
      <c r="O210" s="6">
        <v>35</v>
      </c>
      <c r="P210" s="5"/>
      <c r="Q210" s="6">
        <v>116</v>
      </c>
      <c r="R210" s="6">
        <v>20</v>
      </c>
      <c r="S210" s="5"/>
      <c r="T210" s="6">
        <v>29</v>
      </c>
      <c r="U210" s="5"/>
      <c r="V210" s="5"/>
      <c r="W210" s="6">
        <v>65</v>
      </c>
      <c r="X210" s="5"/>
      <c r="Y210" s="5"/>
      <c r="Z210" s="6">
        <v>2</v>
      </c>
      <c r="AA210" s="6">
        <v>2</v>
      </c>
      <c r="AB210" s="6">
        <v>100</v>
      </c>
      <c r="AC210" s="6">
        <v>80</v>
      </c>
      <c r="AD210" s="5"/>
      <c r="AE210" s="5"/>
      <c r="AF210" s="5"/>
      <c r="AG210" s="5"/>
      <c r="AH210" s="6">
        <v>54</v>
      </c>
      <c r="AI210" s="6">
        <v>4</v>
      </c>
      <c r="AJ210" s="6">
        <v>20</v>
      </c>
      <c r="AK210" s="5"/>
      <c r="AL210" s="6">
        <v>613</v>
      </c>
    </row>
    <row r="211" spans="1:38" ht="11.1" customHeight="1" x14ac:dyDescent="0.2">
      <c r="A211" s="4" t="s">
        <v>453</v>
      </c>
      <c r="B211" s="4" t="s">
        <v>454</v>
      </c>
      <c r="C211" s="4" t="s">
        <v>1389</v>
      </c>
      <c r="D211" s="4">
        <v>5</v>
      </c>
      <c r="E211" s="5"/>
      <c r="F211" s="5"/>
      <c r="G211" s="5"/>
      <c r="H211" s="5"/>
      <c r="I211" s="5"/>
      <c r="J211" s="5"/>
      <c r="K211" s="5"/>
      <c r="L211" s="5"/>
      <c r="M211" s="6">
        <v>11</v>
      </c>
      <c r="N211" s="6">
        <v>12</v>
      </c>
      <c r="O211" s="6">
        <v>11</v>
      </c>
      <c r="P211" s="6">
        <v>17</v>
      </c>
      <c r="Q211" s="5"/>
      <c r="R211" s="6">
        <v>2</v>
      </c>
      <c r="S211" s="5"/>
      <c r="T211" s="6">
        <v>10</v>
      </c>
      <c r="U211" s="6">
        <v>2</v>
      </c>
      <c r="V211" s="6">
        <v>5</v>
      </c>
      <c r="W211" s="6">
        <v>7</v>
      </c>
      <c r="X211" s="6">
        <v>2</v>
      </c>
      <c r="Y211" s="6">
        <v>6</v>
      </c>
      <c r="Z211" s="6">
        <v>4</v>
      </c>
      <c r="AA211" s="6">
        <v>2</v>
      </c>
      <c r="AB211" s="5"/>
      <c r="AC211" s="5"/>
      <c r="AD211" s="5"/>
      <c r="AE211" s="5"/>
      <c r="AF211" s="6">
        <v>11</v>
      </c>
      <c r="AG211" s="5"/>
      <c r="AH211" s="6">
        <v>4</v>
      </c>
      <c r="AI211" s="5"/>
      <c r="AJ211" s="6">
        <v>8</v>
      </c>
      <c r="AK211" s="5"/>
      <c r="AL211" s="6">
        <v>114</v>
      </c>
    </row>
    <row r="212" spans="1:38" ht="11.1" customHeight="1" x14ac:dyDescent="0.2">
      <c r="A212" s="4" t="s">
        <v>455</v>
      </c>
      <c r="B212" s="4" t="s">
        <v>456</v>
      </c>
      <c r="C212" s="4" t="s">
        <v>1390</v>
      </c>
      <c r="D212" s="4">
        <v>5</v>
      </c>
      <c r="E212" s="5"/>
      <c r="F212" s="5"/>
      <c r="G212" s="5"/>
      <c r="H212" s="5"/>
      <c r="I212" s="5"/>
      <c r="J212" s="5"/>
      <c r="K212" s="5"/>
      <c r="L212" s="5"/>
      <c r="M212" s="6">
        <v>10</v>
      </c>
      <c r="N212" s="5"/>
      <c r="O212" s="5"/>
      <c r="P212" s="5"/>
      <c r="Q212" s="6">
        <v>3</v>
      </c>
      <c r="R212" s="5"/>
      <c r="S212" s="5"/>
      <c r="T212" s="5"/>
      <c r="U212" s="5"/>
      <c r="V212" s="5"/>
      <c r="W212" s="6">
        <v>1</v>
      </c>
      <c r="X212" s="5"/>
      <c r="Y212" s="6">
        <v>2</v>
      </c>
      <c r="Z212" s="5"/>
      <c r="AA212" s="5"/>
      <c r="AB212" s="5"/>
      <c r="AC212" s="6">
        <v>4</v>
      </c>
      <c r="AD212" s="6">
        <v>1</v>
      </c>
      <c r="AE212" s="5"/>
      <c r="AF212" s="5"/>
      <c r="AG212" s="5"/>
      <c r="AH212" s="5"/>
      <c r="AI212" s="5"/>
      <c r="AJ212" s="5"/>
      <c r="AK212" s="5"/>
      <c r="AL212" s="6">
        <v>21</v>
      </c>
    </row>
    <row r="213" spans="1:38" ht="11.1" customHeight="1" x14ac:dyDescent="0.2">
      <c r="A213" s="4" t="s">
        <v>457</v>
      </c>
      <c r="B213" s="4" t="s">
        <v>458</v>
      </c>
      <c r="C213" s="4" t="s">
        <v>1391</v>
      </c>
      <c r="D213" s="4">
        <v>10</v>
      </c>
      <c r="E213" s="5"/>
      <c r="F213" s="5"/>
      <c r="G213" s="5"/>
      <c r="H213" s="5"/>
      <c r="I213" s="5"/>
      <c r="J213" s="5"/>
      <c r="K213" s="5"/>
      <c r="L213" s="5"/>
      <c r="M213" s="6">
        <v>49</v>
      </c>
      <c r="N213" s="6">
        <v>72</v>
      </c>
      <c r="O213" s="6">
        <v>149</v>
      </c>
      <c r="P213" s="6">
        <v>76</v>
      </c>
      <c r="Q213" s="6">
        <v>68</v>
      </c>
      <c r="R213" s="6">
        <v>86</v>
      </c>
      <c r="S213" s="6">
        <v>113</v>
      </c>
      <c r="T213" s="6">
        <v>172</v>
      </c>
      <c r="U213" s="6">
        <v>30</v>
      </c>
      <c r="V213" s="6">
        <v>44</v>
      </c>
      <c r="W213" s="6">
        <v>61</v>
      </c>
      <c r="X213" s="6">
        <v>60</v>
      </c>
      <c r="Y213" s="6">
        <v>95</v>
      </c>
      <c r="Z213" s="6">
        <v>50</v>
      </c>
      <c r="AA213" s="6">
        <v>57</v>
      </c>
      <c r="AB213" s="6">
        <v>27</v>
      </c>
      <c r="AC213" s="6">
        <v>52</v>
      </c>
      <c r="AD213" s="6">
        <v>5</v>
      </c>
      <c r="AE213" s="6">
        <v>10</v>
      </c>
      <c r="AF213" s="6">
        <v>51</v>
      </c>
      <c r="AG213" s="6">
        <v>17</v>
      </c>
      <c r="AH213" s="6">
        <v>105</v>
      </c>
      <c r="AI213" s="6">
        <v>27</v>
      </c>
      <c r="AJ213" s="6">
        <v>103</v>
      </c>
      <c r="AK213" s="6">
        <v>19</v>
      </c>
      <c r="AL213" s="7">
        <v>1598</v>
      </c>
    </row>
    <row r="214" spans="1:38" ht="11.1" customHeight="1" x14ac:dyDescent="0.2">
      <c r="A214" s="4" t="s">
        <v>459</v>
      </c>
      <c r="B214" s="4" t="s">
        <v>460</v>
      </c>
      <c r="C214" s="4" t="s">
        <v>1392</v>
      </c>
      <c r="D214" s="4">
        <v>5</v>
      </c>
      <c r="E214" s="5"/>
      <c r="F214" s="5"/>
      <c r="G214" s="5"/>
      <c r="H214" s="5"/>
      <c r="I214" s="5"/>
      <c r="J214" s="5"/>
      <c r="K214" s="5"/>
      <c r="L214" s="5"/>
      <c r="M214" s="6">
        <v>31</v>
      </c>
      <c r="N214" s="6">
        <v>33</v>
      </c>
      <c r="O214" s="6">
        <v>93</v>
      </c>
      <c r="P214" s="6">
        <v>48</v>
      </c>
      <c r="Q214" s="6">
        <v>89</v>
      </c>
      <c r="R214" s="6">
        <v>56</v>
      </c>
      <c r="S214" s="6">
        <v>71</v>
      </c>
      <c r="T214" s="6">
        <v>101</v>
      </c>
      <c r="U214" s="6">
        <v>23</v>
      </c>
      <c r="V214" s="6">
        <v>25</v>
      </c>
      <c r="W214" s="6">
        <v>40</v>
      </c>
      <c r="X214" s="6">
        <v>40</v>
      </c>
      <c r="Y214" s="6">
        <v>43</v>
      </c>
      <c r="Z214" s="6">
        <v>12</v>
      </c>
      <c r="AA214" s="5"/>
      <c r="AB214" s="6">
        <v>58</v>
      </c>
      <c r="AC214" s="6">
        <v>25</v>
      </c>
      <c r="AD214" s="6">
        <v>15</v>
      </c>
      <c r="AE214" s="6">
        <v>11</v>
      </c>
      <c r="AF214" s="6">
        <v>27</v>
      </c>
      <c r="AG214" s="6">
        <v>17</v>
      </c>
      <c r="AH214" s="6">
        <v>32</v>
      </c>
      <c r="AI214" s="6">
        <v>24</v>
      </c>
      <c r="AJ214" s="6">
        <v>79</v>
      </c>
      <c r="AK214" s="6">
        <v>4</v>
      </c>
      <c r="AL214" s="6">
        <v>997</v>
      </c>
    </row>
    <row r="215" spans="1:38" ht="11.1" customHeight="1" x14ac:dyDescent="0.2">
      <c r="A215" s="4" t="s">
        <v>461</v>
      </c>
      <c r="B215" s="4" t="s">
        <v>462</v>
      </c>
      <c r="C215" s="4" t="s">
        <v>1393</v>
      </c>
      <c r="D215" s="4">
        <v>5</v>
      </c>
      <c r="E215" s="5"/>
      <c r="F215" s="5"/>
      <c r="G215" s="5"/>
      <c r="H215" s="5"/>
      <c r="I215" s="5"/>
      <c r="J215" s="5"/>
      <c r="K215" s="5"/>
      <c r="L215" s="5"/>
      <c r="M215" s="6">
        <v>17</v>
      </c>
      <c r="N215" s="6">
        <v>24</v>
      </c>
      <c r="O215" s="6">
        <v>21</v>
      </c>
      <c r="P215" s="6">
        <v>31</v>
      </c>
      <c r="Q215" s="6">
        <v>41</v>
      </c>
      <c r="R215" s="6">
        <v>25</v>
      </c>
      <c r="S215" s="6">
        <v>42</v>
      </c>
      <c r="T215" s="6">
        <v>33</v>
      </c>
      <c r="U215" s="6">
        <v>7</v>
      </c>
      <c r="V215" s="6">
        <v>9</v>
      </c>
      <c r="W215" s="6">
        <v>29</v>
      </c>
      <c r="X215" s="6">
        <v>25</v>
      </c>
      <c r="Y215" s="6">
        <v>10</v>
      </c>
      <c r="Z215" s="6">
        <v>3</v>
      </c>
      <c r="AA215" s="6">
        <v>1</v>
      </c>
      <c r="AB215" s="6">
        <v>3</v>
      </c>
      <c r="AC215" s="6">
        <v>13</v>
      </c>
      <c r="AD215" s="6">
        <v>6</v>
      </c>
      <c r="AE215" s="6">
        <v>3</v>
      </c>
      <c r="AF215" s="6">
        <v>11</v>
      </c>
      <c r="AG215" s="6">
        <v>16</v>
      </c>
      <c r="AH215" s="6">
        <v>13</v>
      </c>
      <c r="AI215" s="6">
        <v>17</v>
      </c>
      <c r="AJ215" s="6">
        <v>25</v>
      </c>
      <c r="AK215" s="6">
        <v>4</v>
      </c>
      <c r="AL215" s="6">
        <v>429</v>
      </c>
    </row>
    <row r="216" spans="1:38" ht="11.1" customHeight="1" x14ac:dyDescent="0.2">
      <c r="A216" s="4" t="s">
        <v>463</v>
      </c>
      <c r="B216" s="4" t="s">
        <v>464</v>
      </c>
      <c r="C216" s="4" t="s">
        <v>1394</v>
      </c>
      <c r="D216" s="4">
        <v>5</v>
      </c>
      <c r="E216" s="5"/>
      <c r="F216" s="5"/>
      <c r="G216" s="5"/>
      <c r="H216" s="5"/>
      <c r="I216" s="5"/>
      <c r="J216" s="5"/>
      <c r="K216" s="5"/>
      <c r="L216" s="5"/>
      <c r="M216" s="6">
        <v>12</v>
      </c>
      <c r="N216" s="6">
        <v>12</v>
      </c>
      <c r="O216" s="6">
        <v>11</v>
      </c>
      <c r="P216" s="6">
        <v>6</v>
      </c>
      <c r="Q216" s="6">
        <v>17</v>
      </c>
      <c r="R216" s="6">
        <v>9</v>
      </c>
      <c r="S216" s="6">
        <v>10</v>
      </c>
      <c r="T216" s="6">
        <v>4</v>
      </c>
      <c r="U216" s="5"/>
      <c r="V216" s="6">
        <v>2</v>
      </c>
      <c r="W216" s="6">
        <v>9</v>
      </c>
      <c r="X216" s="6">
        <v>7</v>
      </c>
      <c r="Y216" s="6">
        <v>3</v>
      </c>
      <c r="Z216" s="6">
        <v>4</v>
      </c>
      <c r="AA216" s="5"/>
      <c r="AB216" s="6">
        <v>1</v>
      </c>
      <c r="AC216" s="6">
        <v>8</v>
      </c>
      <c r="AD216" s="6">
        <v>1</v>
      </c>
      <c r="AE216" s="6">
        <v>3</v>
      </c>
      <c r="AF216" s="6">
        <v>7</v>
      </c>
      <c r="AG216" s="5"/>
      <c r="AH216" s="6">
        <v>17</v>
      </c>
      <c r="AI216" s="6">
        <v>5</v>
      </c>
      <c r="AJ216" s="6">
        <v>8</v>
      </c>
      <c r="AK216" s="5"/>
      <c r="AL216" s="6">
        <v>156</v>
      </c>
    </row>
    <row r="217" spans="1:38" ht="11.1" customHeight="1" x14ac:dyDescent="0.2">
      <c r="A217" s="4" t="s">
        <v>465</v>
      </c>
      <c r="B217" s="4" t="s">
        <v>466</v>
      </c>
      <c r="C217" s="4" t="s">
        <v>1395</v>
      </c>
      <c r="D217" s="4">
        <v>5</v>
      </c>
      <c r="E217" s="5"/>
      <c r="F217" s="5"/>
      <c r="G217" s="5"/>
      <c r="H217" s="5"/>
      <c r="I217" s="5"/>
      <c r="J217" s="5"/>
      <c r="K217" s="5"/>
      <c r="L217" s="5"/>
      <c r="M217" s="6">
        <v>12</v>
      </c>
      <c r="N217" s="6">
        <v>10</v>
      </c>
      <c r="O217" s="6">
        <v>3</v>
      </c>
      <c r="P217" s="5"/>
      <c r="Q217" s="6">
        <v>2</v>
      </c>
      <c r="R217" s="6">
        <v>1</v>
      </c>
      <c r="S217" s="6">
        <v>1</v>
      </c>
      <c r="T217" s="5"/>
      <c r="U217" s="5"/>
      <c r="V217" s="5"/>
      <c r="W217" s="6">
        <v>2</v>
      </c>
      <c r="X217" s="5"/>
      <c r="Y217" s="5"/>
      <c r="Z217" s="5"/>
      <c r="AA217" s="5"/>
      <c r="AB217" s="6">
        <v>1</v>
      </c>
      <c r="AC217" s="5"/>
      <c r="AD217" s="6">
        <v>1</v>
      </c>
      <c r="AE217" s="5"/>
      <c r="AF217" s="6">
        <v>4</v>
      </c>
      <c r="AG217" s="5"/>
      <c r="AH217" s="6">
        <v>1</v>
      </c>
      <c r="AI217" s="5"/>
      <c r="AJ217" s="6">
        <v>5</v>
      </c>
      <c r="AK217" s="5"/>
      <c r="AL217" s="6">
        <v>43</v>
      </c>
    </row>
    <row r="218" spans="1:38" ht="11.1" customHeight="1" x14ac:dyDescent="0.2">
      <c r="A218" s="4" t="s">
        <v>467</v>
      </c>
      <c r="B218" s="4" t="s">
        <v>468</v>
      </c>
      <c r="C218" s="4" t="s">
        <v>1396</v>
      </c>
      <c r="D218" s="4">
        <v>5</v>
      </c>
      <c r="E218" s="5"/>
      <c r="F218" s="5"/>
      <c r="G218" s="5"/>
      <c r="H218" s="5"/>
      <c r="I218" s="5"/>
      <c r="J218" s="5"/>
      <c r="K218" s="5"/>
      <c r="L218" s="5"/>
      <c r="M218" s="6">
        <v>10</v>
      </c>
      <c r="N218" s="6">
        <v>13</v>
      </c>
      <c r="O218" s="6">
        <v>5</v>
      </c>
      <c r="P218" s="6">
        <v>4</v>
      </c>
      <c r="Q218" s="6">
        <v>3</v>
      </c>
      <c r="R218" s="6">
        <v>6</v>
      </c>
      <c r="S218" s="6">
        <v>9</v>
      </c>
      <c r="T218" s="6">
        <v>40</v>
      </c>
      <c r="U218" s="6">
        <v>1</v>
      </c>
      <c r="V218" s="6">
        <v>2</v>
      </c>
      <c r="W218" s="6">
        <v>16</v>
      </c>
      <c r="X218" s="6">
        <v>4</v>
      </c>
      <c r="Y218" s="6">
        <v>5</v>
      </c>
      <c r="Z218" s="6">
        <v>5</v>
      </c>
      <c r="AA218" s="6">
        <v>9</v>
      </c>
      <c r="AB218" s="5"/>
      <c r="AC218" s="6">
        <v>8</v>
      </c>
      <c r="AD218" s="5"/>
      <c r="AE218" s="5"/>
      <c r="AF218" s="6">
        <v>6</v>
      </c>
      <c r="AG218" s="6">
        <v>2</v>
      </c>
      <c r="AH218" s="6">
        <v>10</v>
      </c>
      <c r="AI218" s="5"/>
      <c r="AJ218" s="6">
        <v>3</v>
      </c>
      <c r="AK218" s="5"/>
      <c r="AL218" s="6">
        <v>161</v>
      </c>
    </row>
    <row r="219" spans="1:38" ht="23.1" customHeight="1" x14ac:dyDescent="0.2">
      <c r="A219" s="4" t="s">
        <v>469</v>
      </c>
      <c r="B219" s="4" t="s">
        <v>470</v>
      </c>
      <c r="C219" s="4" t="s">
        <v>1397</v>
      </c>
      <c r="D219" s="4">
        <v>1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6">
        <v>3</v>
      </c>
      <c r="T219" s="5"/>
      <c r="U219" s="5"/>
      <c r="V219" s="5"/>
      <c r="W219" s="5"/>
      <c r="X219" s="5"/>
      <c r="Y219" s="6">
        <v>5</v>
      </c>
      <c r="Z219" s="5"/>
      <c r="AA219" s="6">
        <v>1</v>
      </c>
      <c r="AB219" s="5"/>
      <c r="AC219" s="6">
        <v>1</v>
      </c>
      <c r="AD219" s="5"/>
      <c r="AE219" s="5"/>
      <c r="AF219" s="5"/>
      <c r="AG219" s="5"/>
      <c r="AH219" s="5"/>
      <c r="AI219" s="5"/>
      <c r="AJ219" s="5"/>
      <c r="AK219" s="5"/>
      <c r="AL219" s="6">
        <v>10</v>
      </c>
    </row>
    <row r="220" spans="1:38" ht="11.1" customHeight="1" x14ac:dyDescent="0.2">
      <c r="A220" s="4" t="s">
        <v>471</v>
      </c>
      <c r="B220" s="4" t="s">
        <v>472</v>
      </c>
      <c r="C220" s="4" t="s">
        <v>1398</v>
      </c>
      <c r="D220" s="4">
        <v>5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>
        <v>4</v>
      </c>
      <c r="R220" s="5"/>
      <c r="S220" s="5"/>
      <c r="T220" s="6">
        <v>8</v>
      </c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6">
        <v>2</v>
      </c>
      <c r="AF220" s="6">
        <v>7</v>
      </c>
      <c r="AG220" s="5"/>
      <c r="AH220" s="6">
        <v>1</v>
      </c>
      <c r="AI220" s="5"/>
      <c r="AJ220" s="5"/>
      <c r="AK220" s="5"/>
      <c r="AL220" s="6">
        <v>22</v>
      </c>
    </row>
    <row r="221" spans="1:38" ht="11.1" customHeight="1" x14ac:dyDescent="0.2">
      <c r="A221" s="4" t="s">
        <v>473</v>
      </c>
      <c r="B221" s="4" t="s">
        <v>474</v>
      </c>
      <c r="C221" s="4" t="s">
        <v>1399</v>
      </c>
      <c r="D221" s="4">
        <v>5</v>
      </c>
      <c r="E221" s="5"/>
      <c r="F221" s="5"/>
      <c r="G221" s="5"/>
      <c r="H221" s="5"/>
      <c r="I221" s="5"/>
      <c r="J221" s="5"/>
      <c r="K221" s="5"/>
      <c r="L221" s="5"/>
      <c r="M221" s="5"/>
      <c r="N221" s="6">
        <v>3</v>
      </c>
      <c r="O221" s="6">
        <v>3</v>
      </c>
      <c r="P221" s="5"/>
      <c r="Q221" s="6">
        <v>10</v>
      </c>
      <c r="R221" s="5"/>
      <c r="S221" s="5"/>
      <c r="T221" s="6">
        <v>1</v>
      </c>
      <c r="U221" s="5"/>
      <c r="V221" s="6">
        <v>3</v>
      </c>
      <c r="W221" s="5"/>
      <c r="X221" s="5"/>
      <c r="Y221" s="5"/>
      <c r="Z221" s="6">
        <v>4</v>
      </c>
      <c r="AA221" s="5"/>
      <c r="AB221" s="5"/>
      <c r="AC221" s="6">
        <v>2</v>
      </c>
      <c r="AD221" s="6">
        <v>2</v>
      </c>
      <c r="AE221" s="5"/>
      <c r="AF221" s="6">
        <v>11</v>
      </c>
      <c r="AG221" s="6">
        <v>1</v>
      </c>
      <c r="AH221" s="6">
        <v>4</v>
      </c>
      <c r="AI221" s="6">
        <v>2</v>
      </c>
      <c r="AJ221" s="5"/>
      <c r="AK221" s="5"/>
      <c r="AL221" s="6">
        <v>46</v>
      </c>
    </row>
    <row r="222" spans="1:38" ht="11.1" customHeight="1" x14ac:dyDescent="0.2">
      <c r="A222" s="4" t="s">
        <v>475</v>
      </c>
      <c r="B222" s="4" t="s">
        <v>476</v>
      </c>
      <c r="C222" s="4" t="s">
        <v>1400</v>
      </c>
      <c r="D222" s="4">
        <v>5</v>
      </c>
      <c r="E222" s="5"/>
      <c r="F222" s="5"/>
      <c r="G222" s="5"/>
      <c r="H222" s="5"/>
      <c r="I222" s="5"/>
      <c r="J222" s="5"/>
      <c r="K222" s="5"/>
      <c r="L222" s="5"/>
      <c r="M222" s="6">
        <v>1</v>
      </c>
      <c r="N222" s="5"/>
      <c r="O222" s="5"/>
      <c r="P222" s="5"/>
      <c r="Q222" s="6">
        <v>18</v>
      </c>
      <c r="R222" s="6">
        <v>1</v>
      </c>
      <c r="S222" s="5"/>
      <c r="T222" s="5"/>
      <c r="U222" s="5"/>
      <c r="V222" s="5"/>
      <c r="W222" s="6">
        <v>2</v>
      </c>
      <c r="X222" s="5"/>
      <c r="Y222" s="5"/>
      <c r="Z222" s="5"/>
      <c r="AA222" s="5"/>
      <c r="AB222" s="5"/>
      <c r="AC222" s="5"/>
      <c r="AD222" s="5"/>
      <c r="AE222" s="5"/>
      <c r="AF222" s="5"/>
      <c r="AG222" s="6">
        <v>7</v>
      </c>
      <c r="AH222" s="5"/>
      <c r="AI222" s="5"/>
      <c r="AJ222" s="5"/>
      <c r="AK222" s="5"/>
      <c r="AL222" s="6">
        <v>29</v>
      </c>
    </row>
    <row r="223" spans="1:38" ht="23.1" customHeight="1" x14ac:dyDescent="0.2">
      <c r="A223" s="4" t="s">
        <v>477</v>
      </c>
      <c r="B223" s="4" t="s">
        <v>478</v>
      </c>
      <c r="C223" s="4" t="s">
        <v>1401</v>
      </c>
      <c r="D223" s="4">
        <v>1</v>
      </c>
      <c r="E223" s="5"/>
      <c r="F223" s="5"/>
      <c r="G223" s="5"/>
      <c r="H223" s="5"/>
      <c r="I223" s="5"/>
      <c r="J223" s="5"/>
      <c r="K223" s="5"/>
      <c r="L223" s="5"/>
      <c r="M223" s="6">
        <v>4</v>
      </c>
      <c r="N223" s="5"/>
      <c r="O223" s="5"/>
      <c r="P223" s="5"/>
      <c r="Q223" s="5"/>
      <c r="R223" s="5"/>
      <c r="S223" s="5"/>
      <c r="T223" s="5"/>
      <c r="U223" s="5"/>
      <c r="V223" s="5"/>
      <c r="W223" s="6">
        <v>2</v>
      </c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6">
        <v>2</v>
      </c>
      <c r="AK223" s="5"/>
      <c r="AL223" s="6">
        <v>8</v>
      </c>
    </row>
    <row r="224" spans="1:38" ht="11.1" customHeight="1" x14ac:dyDescent="0.2">
      <c r="A224" s="4" t="s">
        <v>479</v>
      </c>
      <c r="B224" s="4" t="s">
        <v>480</v>
      </c>
      <c r="C224" s="4" t="s">
        <v>1402</v>
      </c>
      <c r="D224" s="4">
        <v>10</v>
      </c>
      <c r="E224" s="5"/>
      <c r="F224" s="6">
        <v>21</v>
      </c>
      <c r="G224" s="6">
        <v>87</v>
      </c>
      <c r="H224" s="6">
        <v>24</v>
      </c>
      <c r="I224" s="6">
        <v>58</v>
      </c>
      <c r="J224" s="6">
        <v>24</v>
      </c>
      <c r="K224" s="6">
        <v>36</v>
      </c>
      <c r="L224" s="6">
        <v>36</v>
      </c>
      <c r="M224" s="6">
        <v>8</v>
      </c>
      <c r="N224" s="6">
        <v>15</v>
      </c>
      <c r="O224" s="6">
        <v>42</v>
      </c>
      <c r="P224" s="6">
        <v>-5</v>
      </c>
      <c r="Q224" s="6">
        <v>6</v>
      </c>
      <c r="R224" s="6">
        <v>8</v>
      </c>
      <c r="S224" s="6">
        <v>27</v>
      </c>
      <c r="T224" s="6">
        <v>5</v>
      </c>
      <c r="U224" s="6">
        <v>7</v>
      </c>
      <c r="V224" s="6">
        <v>12</v>
      </c>
      <c r="W224" s="6">
        <v>30</v>
      </c>
      <c r="X224" s="6">
        <v>67</v>
      </c>
      <c r="Y224" s="6">
        <v>23</v>
      </c>
      <c r="Z224" s="6">
        <v>6</v>
      </c>
      <c r="AA224" s="6">
        <v>27</v>
      </c>
      <c r="AB224" s="6">
        <v>13</v>
      </c>
      <c r="AC224" s="6">
        <v>6</v>
      </c>
      <c r="AD224" s="6">
        <v>5</v>
      </c>
      <c r="AE224" s="6">
        <v>15</v>
      </c>
      <c r="AF224" s="6">
        <v>6</v>
      </c>
      <c r="AG224" s="6">
        <v>3</v>
      </c>
      <c r="AH224" s="6">
        <v>20</v>
      </c>
      <c r="AI224" s="6">
        <v>20</v>
      </c>
      <c r="AJ224" s="6">
        <v>25</v>
      </c>
      <c r="AK224" s="6">
        <v>1</v>
      </c>
      <c r="AL224" s="6">
        <v>678</v>
      </c>
    </row>
    <row r="225" spans="1:38" ht="11.1" customHeight="1" x14ac:dyDescent="0.2">
      <c r="A225" s="4" t="s">
        <v>481</v>
      </c>
      <c r="B225" s="4" t="s">
        <v>482</v>
      </c>
      <c r="C225" s="4" t="s">
        <v>1403</v>
      </c>
      <c r="D225" s="4">
        <v>10</v>
      </c>
      <c r="E225" s="5"/>
      <c r="F225" s="5"/>
      <c r="G225" s="6">
        <v>22</v>
      </c>
      <c r="H225" s="6">
        <v>-21</v>
      </c>
      <c r="I225" s="5"/>
      <c r="J225" s="5"/>
      <c r="K225" s="6">
        <v>5</v>
      </c>
      <c r="L225" s="6">
        <v>4</v>
      </c>
      <c r="M225" s="6">
        <v>10</v>
      </c>
      <c r="N225" s="6">
        <v>10</v>
      </c>
      <c r="O225" s="6">
        <v>12</v>
      </c>
      <c r="P225" s="6">
        <v>-13</v>
      </c>
      <c r="Q225" s="6">
        <v>3</v>
      </c>
      <c r="R225" s="5"/>
      <c r="S225" s="6">
        <v>3</v>
      </c>
      <c r="T225" s="6">
        <v>40</v>
      </c>
      <c r="U225" s="6">
        <v>4</v>
      </c>
      <c r="V225" s="6">
        <v>3</v>
      </c>
      <c r="W225" s="5"/>
      <c r="X225" s="6">
        <v>1</v>
      </c>
      <c r="Y225" s="6">
        <v>10</v>
      </c>
      <c r="Z225" s="6">
        <v>3</v>
      </c>
      <c r="AA225" s="6">
        <v>6</v>
      </c>
      <c r="AB225" s="6">
        <v>7</v>
      </c>
      <c r="AC225" s="5"/>
      <c r="AD225" s="5"/>
      <c r="AE225" s="5"/>
      <c r="AF225" s="6">
        <v>5</v>
      </c>
      <c r="AG225" s="5"/>
      <c r="AH225" s="6">
        <v>20</v>
      </c>
      <c r="AI225" s="5"/>
      <c r="AJ225" s="5"/>
      <c r="AK225" s="6">
        <v>1</v>
      </c>
      <c r="AL225" s="6">
        <v>135</v>
      </c>
    </row>
    <row r="226" spans="1:38" ht="11.1" customHeight="1" x14ac:dyDescent="0.2">
      <c r="A226" s="4" t="s">
        <v>483</v>
      </c>
      <c r="B226" s="4" t="s">
        <v>484</v>
      </c>
      <c r="C226" s="4" t="s">
        <v>1404</v>
      </c>
      <c r="D226" s="4">
        <v>10</v>
      </c>
      <c r="E226" s="5"/>
      <c r="F226" s="6">
        <v>61</v>
      </c>
      <c r="G226" s="6">
        <v>49</v>
      </c>
      <c r="H226" s="6">
        <v>-18</v>
      </c>
      <c r="I226" s="6">
        <v>36</v>
      </c>
      <c r="J226" s="6">
        <v>21</v>
      </c>
      <c r="K226" s="6">
        <v>13</v>
      </c>
      <c r="L226" s="6">
        <v>67</v>
      </c>
      <c r="M226" s="6">
        <v>44</v>
      </c>
      <c r="N226" s="6">
        <v>27</v>
      </c>
      <c r="O226" s="6">
        <v>73</v>
      </c>
      <c r="P226" s="6">
        <v>40</v>
      </c>
      <c r="Q226" s="6">
        <v>10</v>
      </c>
      <c r="R226" s="6">
        <v>32</v>
      </c>
      <c r="S226" s="6">
        <v>108</v>
      </c>
      <c r="T226" s="6">
        <v>15</v>
      </c>
      <c r="U226" s="6">
        <v>21</v>
      </c>
      <c r="V226" s="6">
        <v>23</v>
      </c>
      <c r="W226" s="6">
        <v>11</v>
      </c>
      <c r="X226" s="6">
        <v>26</v>
      </c>
      <c r="Y226" s="6">
        <v>39</v>
      </c>
      <c r="Z226" s="6">
        <v>23</v>
      </c>
      <c r="AA226" s="6">
        <v>22</v>
      </c>
      <c r="AB226" s="6">
        <v>16</v>
      </c>
      <c r="AC226" s="6">
        <v>19</v>
      </c>
      <c r="AD226" s="6">
        <v>11</v>
      </c>
      <c r="AE226" s="6">
        <v>41</v>
      </c>
      <c r="AF226" s="6">
        <v>18</v>
      </c>
      <c r="AG226" s="6">
        <v>22</v>
      </c>
      <c r="AH226" s="6">
        <v>39</v>
      </c>
      <c r="AI226" s="6">
        <v>10</v>
      </c>
      <c r="AJ226" s="6">
        <v>25</v>
      </c>
      <c r="AK226" s="6">
        <v>14</v>
      </c>
      <c r="AL226" s="6">
        <v>958</v>
      </c>
    </row>
    <row r="227" spans="1:38" ht="11.1" customHeight="1" x14ac:dyDescent="0.2">
      <c r="A227" s="4" t="s">
        <v>485</v>
      </c>
      <c r="B227" s="4" t="s">
        <v>486</v>
      </c>
      <c r="C227" s="4" t="s">
        <v>1405</v>
      </c>
      <c r="D227" s="4">
        <v>10</v>
      </c>
      <c r="E227" s="5"/>
      <c r="F227" s="5"/>
      <c r="G227" s="6">
        <v>10</v>
      </c>
      <c r="H227" s="6">
        <v>-13</v>
      </c>
      <c r="I227" s="6">
        <v>10</v>
      </c>
      <c r="J227" s="6">
        <v>1</v>
      </c>
      <c r="K227" s="6">
        <v>7</v>
      </c>
      <c r="L227" s="6">
        <v>2</v>
      </c>
      <c r="M227" s="6">
        <v>13</v>
      </c>
      <c r="N227" s="5"/>
      <c r="O227" s="6">
        <v>10</v>
      </c>
      <c r="P227" s="6">
        <v>-6</v>
      </c>
      <c r="Q227" s="5"/>
      <c r="R227" s="5"/>
      <c r="S227" s="5"/>
      <c r="T227" s="6">
        <v>7</v>
      </c>
      <c r="U227" s="6">
        <v>1</v>
      </c>
      <c r="V227" s="6">
        <v>2</v>
      </c>
      <c r="W227" s="5"/>
      <c r="X227" s="6">
        <v>4</v>
      </c>
      <c r="Y227" s="5"/>
      <c r="Z227" s="6">
        <v>3</v>
      </c>
      <c r="AA227" s="6">
        <v>2</v>
      </c>
      <c r="AB227" s="6">
        <v>2</v>
      </c>
      <c r="AC227" s="5"/>
      <c r="AD227" s="5"/>
      <c r="AE227" s="5"/>
      <c r="AF227" s="6">
        <v>3</v>
      </c>
      <c r="AG227" s="5"/>
      <c r="AH227" s="6">
        <v>23</v>
      </c>
      <c r="AI227" s="6">
        <v>1</v>
      </c>
      <c r="AJ227" s="5"/>
      <c r="AK227" s="6">
        <v>2</v>
      </c>
      <c r="AL227" s="6">
        <v>84</v>
      </c>
    </row>
    <row r="228" spans="1:38" ht="11.1" customHeight="1" x14ac:dyDescent="0.2">
      <c r="A228" s="4" t="s">
        <v>487</v>
      </c>
      <c r="B228" s="4" t="s">
        <v>488</v>
      </c>
      <c r="C228" s="4" t="s">
        <v>1406</v>
      </c>
      <c r="D228" s="4">
        <v>10</v>
      </c>
      <c r="E228" s="5"/>
      <c r="F228" s="5"/>
      <c r="G228" s="6">
        <v>20</v>
      </c>
      <c r="H228" s="6">
        <v>-4</v>
      </c>
      <c r="I228" s="6">
        <v>22</v>
      </c>
      <c r="J228" s="6">
        <v>11</v>
      </c>
      <c r="K228" s="6">
        <v>7</v>
      </c>
      <c r="L228" s="6">
        <v>13</v>
      </c>
      <c r="M228" s="6">
        <v>14</v>
      </c>
      <c r="N228" s="6">
        <v>14</v>
      </c>
      <c r="O228" s="6">
        <v>13</v>
      </c>
      <c r="P228" s="6">
        <v>-2</v>
      </c>
      <c r="Q228" s="5"/>
      <c r="R228" s="6">
        <v>2</v>
      </c>
      <c r="S228" s="6">
        <v>12</v>
      </c>
      <c r="T228" s="6">
        <v>1</v>
      </c>
      <c r="U228" s="6">
        <v>1</v>
      </c>
      <c r="V228" s="6">
        <v>11</v>
      </c>
      <c r="W228" s="5"/>
      <c r="X228" s="5"/>
      <c r="Y228" s="5"/>
      <c r="Z228" s="6">
        <v>10</v>
      </c>
      <c r="AA228" s="5"/>
      <c r="AB228" s="5"/>
      <c r="AC228" s="6">
        <v>1</v>
      </c>
      <c r="AD228" s="6">
        <v>1</v>
      </c>
      <c r="AE228" s="5"/>
      <c r="AF228" s="6">
        <v>2</v>
      </c>
      <c r="AG228" s="6">
        <v>2</v>
      </c>
      <c r="AH228" s="6">
        <v>3</v>
      </c>
      <c r="AI228" s="5"/>
      <c r="AJ228" s="6">
        <v>1</v>
      </c>
      <c r="AK228" s="6">
        <v>1</v>
      </c>
      <c r="AL228" s="6">
        <v>156</v>
      </c>
    </row>
    <row r="229" spans="1:38" ht="11.1" customHeight="1" x14ac:dyDescent="0.2">
      <c r="A229" s="4" t="s">
        <v>489</v>
      </c>
      <c r="B229" s="4" t="s">
        <v>490</v>
      </c>
      <c r="C229" s="4" t="s">
        <v>1407</v>
      </c>
      <c r="D229" s="4">
        <v>5</v>
      </c>
      <c r="E229" s="5"/>
      <c r="F229" s="6">
        <v>2</v>
      </c>
      <c r="G229" s="6">
        <v>23</v>
      </c>
      <c r="H229" s="6">
        <v>37</v>
      </c>
      <c r="I229" s="6">
        <v>31</v>
      </c>
      <c r="J229" s="6">
        <v>32</v>
      </c>
      <c r="K229" s="6">
        <v>17</v>
      </c>
      <c r="L229" s="6">
        <v>27</v>
      </c>
      <c r="M229" s="6">
        <v>25</v>
      </c>
      <c r="N229" s="6">
        <v>10</v>
      </c>
      <c r="O229" s="6">
        <v>78</v>
      </c>
      <c r="P229" s="6">
        <v>-20</v>
      </c>
      <c r="Q229" s="6">
        <v>4</v>
      </c>
      <c r="R229" s="6">
        <v>10</v>
      </c>
      <c r="S229" s="6">
        <v>23</v>
      </c>
      <c r="T229" s="6">
        <v>16</v>
      </c>
      <c r="U229" s="6">
        <v>7</v>
      </c>
      <c r="V229" s="6">
        <v>19</v>
      </c>
      <c r="W229" s="6">
        <v>5</v>
      </c>
      <c r="X229" s="6">
        <v>20</v>
      </c>
      <c r="Y229" s="6">
        <v>15</v>
      </c>
      <c r="Z229" s="6">
        <v>7</v>
      </c>
      <c r="AA229" s="6">
        <v>6</v>
      </c>
      <c r="AB229" s="6">
        <v>3</v>
      </c>
      <c r="AC229" s="6">
        <v>4</v>
      </c>
      <c r="AD229" s="6">
        <v>3</v>
      </c>
      <c r="AE229" s="6">
        <v>8</v>
      </c>
      <c r="AF229" s="6">
        <v>2</v>
      </c>
      <c r="AG229" s="6">
        <v>14</v>
      </c>
      <c r="AH229" s="6">
        <v>4</v>
      </c>
      <c r="AI229" s="6">
        <v>1</v>
      </c>
      <c r="AJ229" s="6">
        <v>1</v>
      </c>
      <c r="AK229" s="6">
        <v>2</v>
      </c>
      <c r="AL229" s="6">
        <v>436</v>
      </c>
    </row>
    <row r="230" spans="1:38" ht="11.1" customHeight="1" x14ac:dyDescent="0.2">
      <c r="A230" s="4" t="s">
        <v>491</v>
      </c>
      <c r="B230" s="4" t="s">
        <v>492</v>
      </c>
      <c r="C230" s="4" t="s">
        <v>1408</v>
      </c>
      <c r="D230" s="4">
        <v>10</v>
      </c>
      <c r="E230" s="5"/>
      <c r="F230" s="6">
        <v>42</v>
      </c>
      <c r="G230" s="6">
        <v>47</v>
      </c>
      <c r="H230" s="6">
        <v>11</v>
      </c>
      <c r="I230" s="6">
        <v>29</v>
      </c>
      <c r="J230" s="6">
        <v>36</v>
      </c>
      <c r="K230" s="6">
        <v>7</v>
      </c>
      <c r="L230" s="6">
        <v>36</v>
      </c>
      <c r="M230" s="6">
        <v>26</v>
      </c>
      <c r="N230" s="6">
        <v>9</v>
      </c>
      <c r="O230" s="6">
        <v>4</v>
      </c>
      <c r="P230" s="6">
        <v>1</v>
      </c>
      <c r="Q230" s="6">
        <v>6</v>
      </c>
      <c r="R230" s="6">
        <v>8</v>
      </c>
      <c r="S230" s="6">
        <v>24</v>
      </c>
      <c r="T230" s="6">
        <v>18</v>
      </c>
      <c r="U230" s="5"/>
      <c r="V230" s="6">
        <v>43</v>
      </c>
      <c r="W230" s="6">
        <v>12</v>
      </c>
      <c r="X230" s="6">
        <v>21</v>
      </c>
      <c r="Y230" s="6">
        <v>23</v>
      </c>
      <c r="Z230" s="6">
        <v>3</v>
      </c>
      <c r="AA230" s="6">
        <v>3</v>
      </c>
      <c r="AB230" s="5"/>
      <c r="AC230" s="6">
        <v>2</v>
      </c>
      <c r="AD230" s="5"/>
      <c r="AE230" s="5"/>
      <c r="AF230" s="6">
        <v>7</v>
      </c>
      <c r="AG230" s="6">
        <v>24</v>
      </c>
      <c r="AH230" s="5"/>
      <c r="AI230" s="6">
        <v>6</v>
      </c>
      <c r="AJ230" s="5"/>
      <c r="AK230" s="5"/>
      <c r="AL230" s="6">
        <v>448</v>
      </c>
    </row>
    <row r="231" spans="1:38" ht="11.1" customHeight="1" x14ac:dyDescent="0.2">
      <c r="A231" s="4" t="s">
        <v>493</v>
      </c>
      <c r="B231" s="4" t="s">
        <v>494</v>
      </c>
      <c r="C231" s="4" t="s">
        <v>1409</v>
      </c>
      <c r="D231" s="4">
        <v>10</v>
      </c>
      <c r="E231" s="5"/>
      <c r="F231" s="6">
        <v>4</v>
      </c>
      <c r="G231" s="5"/>
      <c r="H231" s="5"/>
      <c r="I231" s="5"/>
      <c r="J231" s="6">
        <v>2</v>
      </c>
      <c r="K231" s="6">
        <v>5</v>
      </c>
      <c r="L231" s="5"/>
      <c r="M231" s="5"/>
      <c r="N231" s="5"/>
      <c r="O231" s="5"/>
      <c r="P231" s="6">
        <v>2</v>
      </c>
      <c r="Q231" s="5"/>
      <c r="R231" s="5"/>
      <c r="S231" s="5"/>
      <c r="T231" s="6">
        <v>2</v>
      </c>
      <c r="U231" s="5"/>
      <c r="V231" s="5"/>
      <c r="W231" s="6">
        <v>1</v>
      </c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6">
        <v>6</v>
      </c>
      <c r="AL231" s="6">
        <v>22</v>
      </c>
    </row>
    <row r="232" spans="1:38" ht="11.1" customHeight="1" x14ac:dyDescent="0.2">
      <c r="A232" s="4" t="s">
        <v>495</v>
      </c>
      <c r="B232" s="4" t="s">
        <v>496</v>
      </c>
      <c r="C232" s="4" t="s">
        <v>1410</v>
      </c>
      <c r="D232" s="4">
        <v>5</v>
      </c>
      <c r="E232" s="6">
        <v>4</v>
      </c>
      <c r="F232" s="6">
        <v>1</v>
      </c>
      <c r="G232" s="6">
        <v>20</v>
      </c>
      <c r="H232" s="6">
        <v>10</v>
      </c>
      <c r="I232" s="6">
        <v>2</v>
      </c>
      <c r="J232" s="6">
        <v>1</v>
      </c>
      <c r="K232" s="5"/>
      <c r="L232" s="6">
        <v>2</v>
      </c>
      <c r="M232" s="6">
        <v>10</v>
      </c>
      <c r="N232" s="6">
        <v>4</v>
      </c>
      <c r="O232" s="5"/>
      <c r="P232" s="6">
        <v>-18</v>
      </c>
      <c r="Q232" s="6">
        <v>1</v>
      </c>
      <c r="R232" s="5"/>
      <c r="S232" s="5"/>
      <c r="T232" s="6">
        <v>8</v>
      </c>
      <c r="U232" s="5"/>
      <c r="V232" s="6">
        <v>1</v>
      </c>
      <c r="W232" s="5"/>
      <c r="X232" s="5"/>
      <c r="Y232" s="6">
        <v>1</v>
      </c>
      <c r="Z232" s="5"/>
      <c r="AA232" s="6">
        <v>3</v>
      </c>
      <c r="AB232" s="6">
        <v>1</v>
      </c>
      <c r="AC232" s="5"/>
      <c r="AD232" s="5"/>
      <c r="AE232" s="5"/>
      <c r="AF232" s="6">
        <v>1</v>
      </c>
      <c r="AG232" s="6">
        <v>1</v>
      </c>
      <c r="AH232" s="5"/>
      <c r="AI232" s="5"/>
      <c r="AJ232" s="5"/>
      <c r="AK232" s="5"/>
      <c r="AL232" s="6">
        <v>53</v>
      </c>
    </row>
    <row r="233" spans="1:38" ht="11.1" customHeight="1" x14ac:dyDescent="0.2">
      <c r="A233" s="4" t="s">
        <v>497</v>
      </c>
      <c r="B233" s="4" t="s">
        <v>498</v>
      </c>
      <c r="C233" s="4" t="s">
        <v>1411</v>
      </c>
      <c r="D233" s="4">
        <v>6</v>
      </c>
      <c r="E233" s="5"/>
      <c r="F233" s="6">
        <v>135</v>
      </c>
      <c r="G233" s="6">
        <v>33</v>
      </c>
      <c r="H233" s="6">
        <v>-27</v>
      </c>
      <c r="I233" s="6">
        <v>26</v>
      </c>
      <c r="J233" s="6">
        <v>16</v>
      </c>
      <c r="K233" s="6">
        <v>103</v>
      </c>
      <c r="L233" s="6">
        <v>32</v>
      </c>
      <c r="M233" s="6">
        <v>66</v>
      </c>
      <c r="N233" s="6">
        <v>52</v>
      </c>
      <c r="O233" s="6">
        <v>22</v>
      </c>
      <c r="P233" s="6">
        <v>-2</v>
      </c>
      <c r="Q233" s="6">
        <v>26</v>
      </c>
      <c r="R233" s="6">
        <v>20</v>
      </c>
      <c r="S233" s="6">
        <v>3</v>
      </c>
      <c r="T233" s="6">
        <v>17</v>
      </c>
      <c r="U233" s="6">
        <v>12</v>
      </c>
      <c r="V233" s="6">
        <v>36</v>
      </c>
      <c r="W233" s="6">
        <v>61</v>
      </c>
      <c r="X233" s="6">
        <v>25</v>
      </c>
      <c r="Y233" s="6">
        <v>53</v>
      </c>
      <c r="Z233" s="6">
        <v>2</v>
      </c>
      <c r="AA233" s="5"/>
      <c r="AB233" s="6">
        <v>23</v>
      </c>
      <c r="AC233" s="6">
        <v>2</v>
      </c>
      <c r="AD233" s="5"/>
      <c r="AE233" s="5"/>
      <c r="AF233" s="6">
        <v>10</v>
      </c>
      <c r="AG233" s="6">
        <v>30</v>
      </c>
      <c r="AH233" s="6">
        <v>26</v>
      </c>
      <c r="AI233" s="6">
        <v>14</v>
      </c>
      <c r="AJ233" s="6">
        <v>5</v>
      </c>
      <c r="AK233" s="5"/>
      <c r="AL233" s="6">
        <v>821</v>
      </c>
    </row>
    <row r="234" spans="1:38" ht="11.1" customHeight="1" x14ac:dyDescent="0.2">
      <c r="A234" s="4" t="s">
        <v>499</v>
      </c>
      <c r="B234" s="4" t="s">
        <v>500</v>
      </c>
      <c r="C234" s="4" t="s">
        <v>1412</v>
      </c>
      <c r="D234" s="4">
        <v>6</v>
      </c>
      <c r="E234" s="5"/>
      <c r="F234" s="6">
        <v>115</v>
      </c>
      <c r="G234" s="6">
        <v>20</v>
      </c>
      <c r="H234" s="6">
        <v>-80</v>
      </c>
      <c r="I234" s="6">
        <v>27</v>
      </c>
      <c r="J234" s="6">
        <v>26</v>
      </c>
      <c r="K234" s="6">
        <v>24</v>
      </c>
      <c r="L234" s="6">
        <v>17</v>
      </c>
      <c r="M234" s="6">
        <v>19</v>
      </c>
      <c r="N234" s="6">
        <v>85</v>
      </c>
      <c r="O234" s="6">
        <v>82</v>
      </c>
      <c r="P234" s="6">
        <v>29</v>
      </c>
      <c r="Q234" s="6">
        <v>33</v>
      </c>
      <c r="R234" s="6">
        <v>25</v>
      </c>
      <c r="S234" s="6">
        <v>64</v>
      </c>
      <c r="T234" s="6">
        <v>-2</v>
      </c>
      <c r="U234" s="6">
        <v>7</v>
      </c>
      <c r="V234" s="6">
        <v>15</v>
      </c>
      <c r="W234" s="6">
        <v>2</v>
      </c>
      <c r="X234" s="6">
        <v>3</v>
      </c>
      <c r="Y234" s="6">
        <v>7</v>
      </c>
      <c r="Z234" s="6">
        <v>17</v>
      </c>
      <c r="AA234" s="5"/>
      <c r="AB234" s="6">
        <v>1</v>
      </c>
      <c r="AC234" s="6">
        <v>25</v>
      </c>
      <c r="AD234" s="6">
        <v>15</v>
      </c>
      <c r="AE234" s="5"/>
      <c r="AF234" s="6">
        <v>39</v>
      </c>
      <c r="AG234" s="6">
        <v>4</v>
      </c>
      <c r="AH234" s="6">
        <v>40</v>
      </c>
      <c r="AI234" s="6">
        <v>19</v>
      </c>
      <c r="AJ234" s="6">
        <v>-1</v>
      </c>
      <c r="AK234" s="6">
        <v>2</v>
      </c>
      <c r="AL234" s="6">
        <v>679</v>
      </c>
    </row>
    <row r="235" spans="1:38" ht="11.1" customHeight="1" x14ac:dyDescent="0.2">
      <c r="A235" s="4" t="s">
        <v>501</v>
      </c>
      <c r="B235" s="4" t="s">
        <v>502</v>
      </c>
      <c r="C235" s="4" t="s">
        <v>1413</v>
      </c>
      <c r="D235" s="4">
        <v>10</v>
      </c>
      <c r="E235" s="5"/>
      <c r="F235" s="5"/>
      <c r="G235" s="6">
        <v>10</v>
      </c>
      <c r="H235" s="6">
        <v>10</v>
      </c>
      <c r="I235" s="5"/>
      <c r="J235" s="5"/>
      <c r="K235" s="5"/>
      <c r="L235" s="6">
        <v>4</v>
      </c>
      <c r="M235" s="5"/>
      <c r="N235" s="6">
        <v>1</v>
      </c>
      <c r="O235" s="6">
        <v>31</v>
      </c>
      <c r="P235" s="6">
        <v>-20</v>
      </c>
      <c r="Q235" s="5"/>
      <c r="R235" s="5"/>
      <c r="S235" s="5"/>
      <c r="T235" s="6">
        <v>2</v>
      </c>
      <c r="U235" s="5"/>
      <c r="V235" s="5"/>
      <c r="W235" s="6">
        <v>4</v>
      </c>
      <c r="X235" s="5"/>
      <c r="Y235" s="6">
        <v>11</v>
      </c>
      <c r="Z235" s="5"/>
      <c r="AA235" s="6">
        <v>1</v>
      </c>
      <c r="AB235" s="6">
        <v>2</v>
      </c>
      <c r="AC235" s="6">
        <v>1</v>
      </c>
      <c r="AD235" s="5"/>
      <c r="AE235" s="5"/>
      <c r="AF235" s="5"/>
      <c r="AG235" s="5"/>
      <c r="AH235" s="5"/>
      <c r="AI235" s="5"/>
      <c r="AJ235" s="5"/>
      <c r="AK235" s="5"/>
      <c r="AL235" s="6">
        <v>57</v>
      </c>
    </row>
    <row r="236" spans="1:38" ht="11.1" customHeight="1" x14ac:dyDescent="0.2">
      <c r="A236" s="4" t="s">
        <v>503</v>
      </c>
      <c r="B236" s="4" t="s">
        <v>504</v>
      </c>
      <c r="C236" s="4" t="s">
        <v>1414</v>
      </c>
      <c r="D236" s="4">
        <v>10</v>
      </c>
      <c r="E236" s="5"/>
      <c r="F236" s="6">
        <v>185</v>
      </c>
      <c r="G236" s="6">
        <v>623</v>
      </c>
      <c r="H236" s="6">
        <v>680</v>
      </c>
      <c r="I236" s="6">
        <v>729</v>
      </c>
      <c r="J236" s="6">
        <v>482</v>
      </c>
      <c r="K236" s="6">
        <v>596</v>
      </c>
      <c r="L236" s="6">
        <v>532</v>
      </c>
      <c r="M236" s="6">
        <v>407</v>
      </c>
      <c r="N236" s="6">
        <v>182</v>
      </c>
      <c r="O236" s="6">
        <v>779</v>
      </c>
      <c r="P236" s="6">
        <v>355</v>
      </c>
      <c r="Q236" s="6">
        <v>130</v>
      </c>
      <c r="R236" s="6">
        <v>424</v>
      </c>
      <c r="S236" s="6">
        <v>654</v>
      </c>
      <c r="T236" s="6">
        <v>452</v>
      </c>
      <c r="U236" s="6">
        <v>360</v>
      </c>
      <c r="V236" s="6">
        <v>480</v>
      </c>
      <c r="W236" s="6">
        <v>329</v>
      </c>
      <c r="X236" s="6">
        <v>72</v>
      </c>
      <c r="Y236" s="6">
        <v>194</v>
      </c>
      <c r="Z236" s="6">
        <v>287</v>
      </c>
      <c r="AA236" s="6">
        <v>79</v>
      </c>
      <c r="AB236" s="6">
        <v>171</v>
      </c>
      <c r="AC236" s="6">
        <v>130</v>
      </c>
      <c r="AD236" s="6">
        <v>72</v>
      </c>
      <c r="AE236" s="6">
        <v>194</v>
      </c>
      <c r="AF236" s="6">
        <v>117</v>
      </c>
      <c r="AG236" s="6">
        <v>137</v>
      </c>
      <c r="AH236" s="6">
        <v>424</v>
      </c>
      <c r="AI236" s="6">
        <v>152</v>
      </c>
      <c r="AJ236" s="6">
        <v>176</v>
      </c>
      <c r="AK236" s="6">
        <v>109</v>
      </c>
      <c r="AL236" s="7">
        <v>10693</v>
      </c>
    </row>
    <row r="237" spans="1:38" ht="11.1" customHeight="1" x14ac:dyDescent="0.2">
      <c r="A237" s="4" t="s">
        <v>505</v>
      </c>
      <c r="B237" s="4" t="s">
        <v>506</v>
      </c>
      <c r="C237" s="4" t="s">
        <v>1415</v>
      </c>
      <c r="D237" s="4">
        <v>10</v>
      </c>
      <c r="E237" s="5"/>
      <c r="F237" s="5"/>
      <c r="G237" s="5"/>
      <c r="H237" s="6">
        <v>3</v>
      </c>
      <c r="I237" s="6">
        <v>30</v>
      </c>
      <c r="J237" s="6">
        <v>34</v>
      </c>
      <c r="K237" s="6">
        <v>115</v>
      </c>
      <c r="L237" s="6">
        <v>34</v>
      </c>
      <c r="M237" s="6">
        <v>123</v>
      </c>
      <c r="N237" s="6">
        <v>25</v>
      </c>
      <c r="O237" s="6">
        <v>26</v>
      </c>
      <c r="P237" s="6">
        <v>71</v>
      </c>
      <c r="Q237" s="6">
        <v>33</v>
      </c>
      <c r="R237" s="6">
        <v>7</v>
      </c>
      <c r="S237" s="6">
        <v>32</v>
      </c>
      <c r="T237" s="6">
        <v>23</v>
      </c>
      <c r="U237" s="5"/>
      <c r="V237" s="6">
        <v>72</v>
      </c>
      <c r="W237" s="6">
        <v>76</v>
      </c>
      <c r="X237" s="6">
        <v>67</v>
      </c>
      <c r="Y237" s="6">
        <v>37</v>
      </c>
      <c r="Z237" s="5"/>
      <c r="AA237" s="6">
        <v>39</v>
      </c>
      <c r="AB237" s="6">
        <v>3</v>
      </c>
      <c r="AC237" s="6">
        <v>6</v>
      </c>
      <c r="AD237" s="5"/>
      <c r="AE237" s="5"/>
      <c r="AF237" s="6">
        <v>29</v>
      </c>
      <c r="AG237" s="5"/>
      <c r="AH237" s="5"/>
      <c r="AI237" s="5"/>
      <c r="AJ237" s="5"/>
      <c r="AK237" s="5"/>
      <c r="AL237" s="6">
        <v>885</v>
      </c>
    </row>
    <row r="238" spans="1:38" ht="11.1" customHeight="1" x14ac:dyDescent="0.2">
      <c r="A238" s="4" t="s">
        <v>507</v>
      </c>
      <c r="B238" s="4" t="s">
        <v>508</v>
      </c>
      <c r="C238" s="4" t="s">
        <v>1416</v>
      </c>
      <c r="D238" s="4">
        <v>10</v>
      </c>
      <c r="E238" s="5"/>
      <c r="F238" s="6">
        <v>35</v>
      </c>
      <c r="G238" s="5"/>
      <c r="H238" s="6">
        <v>8</v>
      </c>
      <c r="I238" s="6">
        <v>34</v>
      </c>
      <c r="J238" s="6">
        <v>92</v>
      </c>
      <c r="K238" s="5"/>
      <c r="L238" s="6">
        <v>26</v>
      </c>
      <c r="M238" s="6">
        <v>22</v>
      </c>
      <c r="N238" s="6">
        <v>1</v>
      </c>
      <c r="O238" s="6">
        <v>7</v>
      </c>
      <c r="P238" s="6">
        <v>9</v>
      </c>
      <c r="Q238" s="6">
        <v>3</v>
      </c>
      <c r="R238" s="5"/>
      <c r="S238" s="6">
        <v>14</v>
      </c>
      <c r="T238" s="6">
        <v>17</v>
      </c>
      <c r="U238" s="5"/>
      <c r="V238" s="5"/>
      <c r="W238" s="6">
        <v>30</v>
      </c>
      <c r="X238" s="6">
        <v>59</v>
      </c>
      <c r="Y238" s="5"/>
      <c r="Z238" s="6">
        <v>2</v>
      </c>
      <c r="AA238" s="6">
        <v>100</v>
      </c>
      <c r="AB238" s="6">
        <v>12</v>
      </c>
      <c r="AC238" s="5"/>
      <c r="AD238" s="6">
        <v>1</v>
      </c>
      <c r="AE238" s="5"/>
      <c r="AF238" s="6">
        <v>2</v>
      </c>
      <c r="AG238" s="6">
        <v>50</v>
      </c>
      <c r="AH238" s="5"/>
      <c r="AI238" s="6">
        <v>50</v>
      </c>
      <c r="AJ238" s="6">
        <v>3</v>
      </c>
      <c r="AK238" s="6">
        <v>20</v>
      </c>
      <c r="AL238" s="6">
        <v>597</v>
      </c>
    </row>
    <row r="239" spans="1:38" ht="11.1" customHeight="1" x14ac:dyDescent="0.2">
      <c r="A239" s="4" t="s">
        <v>509</v>
      </c>
      <c r="B239" s="4" t="s">
        <v>510</v>
      </c>
      <c r="C239" s="4" t="s">
        <v>1417</v>
      </c>
      <c r="D239" s="4">
        <v>10</v>
      </c>
      <c r="E239" s="5"/>
      <c r="F239" s="5"/>
      <c r="G239" s="6">
        <v>11</v>
      </c>
      <c r="H239" s="6">
        <v>20</v>
      </c>
      <c r="I239" s="6">
        <v>3</v>
      </c>
      <c r="J239" s="5"/>
      <c r="K239" s="5"/>
      <c r="L239" s="6">
        <v>4</v>
      </c>
      <c r="M239" s="6">
        <v>2</v>
      </c>
      <c r="N239" s="6">
        <v>2</v>
      </c>
      <c r="O239" s="6">
        <v>1</v>
      </c>
      <c r="P239" s="6">
        <v>-7</v>
      </c>
      <c r="Q239" s="6">
        <v>2</v>
      </c>
      <c r="R239" s="6">
        <v>1</v>
      </c>
      <c r="S239" s="6">
        <v>5</v>
      </c>
      <c r="T239" s="6">
        <v>2</v>
      </c>
      <c r="U239" s="5"/>
      <c r="V239" s="6">
        <v>1</v>
      </c>
      <c r="W239" s="5"/>
      <c r="X239" s="6">
        <v>3</v>
      </c>
      <c r="Y239" s="6">
        <v>1</v>
      </c>
      <c r="Z239" s="5"/>
      <c r="AA239" s="6">
        <v>3</v>
      </c>
      <c r="AB239" s="6">
        <v>1</v>
      </c>
      <c r="AC239" s="5"/>
      <c r="AD239" s="5"/>
      <c r="AE239" s="5"/>
      <c r="AF239" s="5"/>
      <c r="AG239" s="5"/>
      <c r="AH239" s="5"/>
      <c r="AI239" s="5"/>
      <c r="AJ239" s="6">
        <v>2</v>
      </c>
      <c r="AK239" s="5"/>
      <c r="AL239" s="6">
        <v>57</v>
      </c>
    </row>
    <row r="240" spans="1:38" ht="11.1" customHeight="1" x14ac:dyDescent="0.2">
      <c r="A240" s="4" t="s">
        <v>511</v>
      </c>
      <c r="B240" s="4" t="s">
        <v>512</v>
      </c>
      <c r="C240" s="4" t="s">
        <v>1418</v>
      </c>
      <c r="D240" s="4">
        <v>5</v>
      </c>
      <c r="E240" s="6">
        <v>2</v>
      </c>
      <c r="F240" s="5"/>
      <c r="G240" s="5"/>
      <c r="H240" s="5"/>
      <c r="I240" s="5"/>
      <c r="J240" s="5"/>
      <c r="K240" s="5"/>
      <c r="L240" s="5"/>
      <c r="M240" s="6">
        <v>10</v>
      </c>
      <c r="N240" s="5"/>
      <c r="O240" s="5"/>
      <c r="P240" s="5"/>
      <c r="Q240" s="5"/>
      <c r="R240" s="5"/>
      <c r="S240" s="5"/>
      <c r="T240" s="5"/>
      <c r="U240" s="5"/>
      <c r="V240" s="6">
        <v>5</v>
      </c>
      <c r="W240" s="5"/>
      <c r="X240" s="6">
        <v>1</v>
      </c>
      <c r="Y240" s="5"/>
      <c r="Z240" s="5"/>
      <c r="AA240" s="5"/>
      <c r="AB240" s="5"/>
      <c r="AC240" s="5"/>
      <c r="AD240" s="5"/>
      <c r="AE240" s="5"/>
      <c r="AF240" s="6">
        <v>1</v>
      </c>
      <c r="AG240" s="5"/>
      <c r="AH240" s="5"/>
      <c r="AI240" s="5"/>
      <c r="AJ240" s="5"/>
      <c r="AK240" s="5"/>
      <c r="AL240" s="6">
        <v>19</v>
      </c>
    </row>
    <row r="241" spans="1:38" ht="11.1" customHeight="1" x14ac:dyDescent="0.2">
      <c r="A241" s="4" t="s">
        <v>513</v>
      </c>
      <c r="B241" s="4" t="s">
        <v>514</v>
      </c>
      <c r="C241" s="4" t="s">
        <v>1177</v>
      </c>
      <c r="D241" s="4">
        <v>1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6">
        <v>1</v>
      </c>
      <c r="T241" s="5"/>
      <c r="U241" s="5"/>
      <c r="V241" s="5"/>
      <c r="W241" s="5"/>
      <c r="X241" s="5"/>
      <c r="Y241" s="5"/>
      <c r="Z241" s="6">
        <v>2</v>
      </c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6">
        <v>3</v>
      </c>
    </row>
    <row r="242" spans="1:38" ht="11.1" customHeight="1" x14ac:dyDescent="0.2">
      <c r="A242" s="4" t="s">
        <v>515</v>
      </c>
      <c r="B242" s="4" t="s">
        <v>516</v>
      </c>
      <c r="C242" s="4" t="s">
        <v>1419</v>
      </c>
      <c r="D242" s="4">
        <v>20</v>
      </c>
      <c r="E242" s="6">
        <v>52</v>
      </c>
      <c r="F242" s="6">
        <v>218</v>
      </c>
      <c r="G242" s="6">
        <v>164</v>
      </c>
      <c r="H242" s="6">
        <v>37</v>
      </c>
      <c r="I242" s="6">
        <v>375</v>
      </c>
      <c r="J242" s="6">
        <v>277</v>
      </c>
      <c r="K242" s="6">
        <v>393</v>
      </c>
      <c r="L242" s="6">
        <v>385</v>
      </c>
      <c r="M242" s="6">
        <v>297</v>
      </c>
      <c r="N242" s="6">
        <v>303</v>
      </c>
      <c r="O242" s="6">
        <v>369</v>
      </c>
      <c r="P242" s="6">
        <v>253</v>
      </c>
      <c r="Q242" s="6">
        <v>53</v>
      </c>
      <c r="R242" s="6">
        <v>317</v>
      </c>
      <c r="S242" s="6">
        <v>277</v>
      </c>
      <c r="T242" s="6">
        <v>96</v>
      </c>
      <c r="U242" s="6">
        <v>153</v>
      </c>
      <c r="V242" s="6">
        <v>299</v>
      </c>
      <c r="W242" s="6">
        <v>250</v>
      </c>
      <c r="X242" s="6">
        <v>52</v>
      </c>
      <c r="Y242" s="6">
        <v>193</v>
      </c>
      <c r="Z242" s="6">
        <v>46</v>
      </c>
      <c r="AA242" s="6">
        <v>34</v>
      </c>
      <c r="AB242" s="6">
        <v>54</v>
      </c>
      <c r="AC242" s="6">
        <v>97</v>
      </c>
      <c r="AD242" s="6">
        <v>51</v>
      </c>
      <c r="AE242" s="6">
        <v>102</v>
      </c>
      <c r="AF242" s="6">
        <v>88</v>
      </c>
      <c r="AG242" s="6">
        <v>56</v>
      </c>
      <c r="AH242" s="6">
        <v>254</v>
      </c>
      <c r="AI242" s="6">
        <v>108</v>
      </c>
      <c r="AJ242" s="6">
        <v>136</v>
      </c>
      <c r="AK242" s="6">
        <v>50</v>
      </c>
      <c r="AL242" s="7">
        <v>5889</v>
      </c>
    </row>
    <row r="243" spans="1:38" ht="11.1" customHeight="1" x14ac:dyDescent="0.2">
      <c r="A243" s="4" t="s">
        <v>517</v>
      </c>
      <c r="B243" s="4" t="s">
        <v>518</v>
      </c>
      <c r="C243" s="4" t="s">
        <v>1420</v>
      </c>
      <c r="D243" s="4">
        <v>10</v>
      </c>
      <c r="E243" s="6">
        <v>4</v>
      </c>
      <c r="F243" s="6">
        <v>23</v>
      </c>
      <c r="G243" s="6">
        <v>149</v>
      </c>
      <c r="H243" s="6">
        <v>9</v>
      </c>
      <c r="I243" s="6">
        <v>194</v>
      </c>
      <c r="J243" s="6">
        <v>103</v>
      </c>
      <c r="K243" s="6">
        <v>140</v>
      </c>
      <c r="L243" s="6">
        <v>155</v>
      </c>
      <c r="M243" s="6">
        <v>104</v>
      </c>
      <c r="N243" s="6">
        <v>35</v>
      </c>
      <c r="O243" s="6">
        <v>136</v>
      </c>
      <c r="P243" s="6">
        <v>87</v>
      </c>
      <c r="Q243" s="6">
        <v>13</v>
      </c>
      <c r="R243" s="6">
        <v>124</v>
      </c>
      <c r="S243" s="6">
        <v>241</v>
      </c>
      <c r="T243" s="6">
        <v>130</v>
      </c>
      <c r="U243" s="6">
        <v>125</v>
      </c>
      <c r="V243" s="6">
        <v>136</v>
      </c>
      <c r="W243" s="6">
        <v>59</v>
      </c>
      <c r="X243" s="6">
        <v>58</v>
      </c>
      <c r="Y243" s="6">
        <v>65</v>
      </c>
      <c r="Z243" s="6">
        <v>64</v>
      </c>
      <c r="AA243" s="6">
        <v>94</v>
      </c>
      <c r="AB243" s="6">
        <v>54</v>
      </c>
      <c r="AC243" s="6">
        <v>51</v>
      </c>
      <c r="AD243" s="6">
        <v>28</v>
      </c>
      <c r="AE243" s="6">
        <v>71</v>
      </c>
      <c r="AF243" s="6">
        <v>26</v>
      </c>
      <c r="AG243" s="6">
        <v>54</v>
      </c>
      <c r="AH243" s="6">
        <v>66</v>
      </c>
      <c r="AI243" s="6">
        <v>55</v>
      </c>
      <c r="AJ243" s="6">
        <v>29</v>
      </c>
      <c r="AK243" s="6">
        <v>36</v>
      </c>
      <c r="AL243" s="7">
        <v>2718</v>
      </c>
    </row>
    <row r="244" spans="1:38" ht="11.1" customHeight="1" x14ac:dyDescent="0.2">
      <c r="A244" s="4" t="s">
        <v>519</v>
      </c>
      <c r="B244" s="4" t="s">
        <v>520</v>
      </c>
      <c r="C244" s="4" t="s">
        <v>1421</v>
      </c>
      <c r="D244" s="4">
        <v>5</v>
      </c>
      <c r="E244" s="6">
        <v>1</v>
      </c>
      <c r="F244" s="6">
        <v>20</v>
      </c>
      <c r="G244" s="6">
        <v>40</v>
      </c>
      <c r="H244" s="6">
        <v>66</v>
      </c>
      <c r="I244" s="6">
        <v>54</v>
      </c>
      <c r="J244" s="6">
        <v>45</v>
      </c>
      <c r="K244" s="6">
        <v>64</v>
      </c>
      <c r="L244" s="6">
        <v>92</v>
      </c>
      <c r="M244" s="6">
        <v>34</v>
      </c>
      <c r="N244" s="6">
        <v>21</v>
      </c>
      <c r="O244" s="6">
        <v>71</v>
      </c>
      <c r="P244" s="6">
        <v>27</v>
      </c>
      <c r="Q244" s="6">
        <v>22</v>
      </c>
      <c r="R244" s="6">
        <v>14</v>
      </c>
      <c r="S244" s="6">
        <v>40</v>
      </c>
      <c r="T244" s="6">
        <v>57</v>
      </c>
      <c r="U244" s="6">
        <v>51</v>
      </c>
      <c r="V244" s="6">
        <v>73</v>
      </c>
      <c r="W244" s="6">
        <v>32</v>
      </c>
      <c r="X244" s="6">
        <v>18</v>
      </c>
      <c r="Y244" s="6">
        <v>13</v>
      </c>
      <c r="Z244" s="6">
        <v>27</v>
      </c>
      <c r="AA244" s="6">
        <v>8</v>
      </c>
      <c r="AB244" s="6">
        <v>12</v>
      </c>
      <c r="AC244" s="6">
        <v>5</v>
      </c>
      <c r="AD244" s="6">
        <v>5</v>
      </c>
      <c r="AE244" s="6">
        <v>24</v>
      </c>
      <c r="AF244" s="6">
        <v>10</v>
      </c>
      <c r="AG244" s="6">
        <v>22</v>
      </c>
      <c r="AH244" s="6">
        <v>28</v>
      </c>
      <c r="AI244" s="6">
        <v>10</v>
      </c>
      <c r="AJ244" s="6">
        <v>10</v>
      </c>
      <c r="AK244" s="6">
        <v>12</v>
      </c>
      <c r="AL244" s="7">
        <v>1028</v>
      </c>
    </row>
    <row r="245" spans="1:38" ht="11.1" customHeight="1" x14ac:dyDescent="0.2">
      <c r="A245" s="4" t="s">
        <v>521</v>
      </c>
      <c r="B245" s="4" t="s">
        <v>522</v>
      </c>
      <c r="C245" s="4" t="s">
        <v>1422</v>
      </c>
      <c r="D245" s="4">
        <v>5</v>
      </c>
      <c r="E245" s="6">
        <v>1</v>
      </c>
      <c r="F245" s="5"/>
      <c r="G245" s="6">
        <v>15</v>
      </c>
      <c r="H245" s="6">
        <v>35</v>
      </c>
      <c r="I245" s="6">
        <v>45</v>
      </c>
      <c r="J245" s="6">
        <v>16</v>
      </c>
      <c r="K245" s="6">
        <v>25</v>
      </c>
      <c r="L245" s="6">
        <v>21</v>
      </c>
      <c r="M245" s="6">
        <v>35</v>
      </c>
      <c r="N245" s="6">
        <v>29</v>
      </c>
      <c r="O245" s="6">
        <v>46</v>
      </c>
      <c r="P245" s="6">
        <v>3</v>
      </c>
      <c r="Q245" s="6">
        <v>6</v>
      </c>
      <c r="R245" s="6">
        <v>11</v>
      </c>
      <c r="S245" s="6">
        <v>21</v>
      </c>
      <c r="T245" s="6">
        <v>5</v>
      </c>
      <c r="U245" s="6">
        <v>30</v>
      </c>
      <c r="V245" s="6">
        <v>21</v>
      </c>
      <c r="W245" s="6">
        <v>3</v>
      </c>
      <c r="X245" s="6">
        <v>15</v>
      </c>
      <c r="Y245" s="6">
        <v>5</v>
      </c>
      <c r="Z245" s="6">
        <v>23</v>
      </c>
      <c r="AA245" s="6">
        <v>6</v>
      </c>
      <c r="AB245" s="6">
        <v>4</v>
      </c>
      <c r="AC245" s="6">
        <v>4</v>
      </c>
      <c r="AD245" s="6">
        <v>5</v>
      </c>
      <c r="AE245" s="6">
        <v>8</v>
      </c>
      <c r="AF245" s="6">
        <v>2</v>
      </c>
      <c r="AG245" s="6">
        <v>9</v>
      </c>
      <c r="AH245" s="6">
        <v>14</v>
      </c>
      <c r="AI245" s="6">
        <v>2</v>
      </c>
      <c r="AJ245" s="6">
        <v>1</v>
      </c>
      <c r="AK245" s="5"/>
      <c r="AL245" s="6">
        <v>466</v>
      </c>
    </row>
    <row r="246" spans="1:38" ht="11.1" customHeight="1" x14ac:dyDescent="0.2">
      <c r="A246" s="4" t="s">
        <v>523</v>
      </c>
      <c r="B246" s="4" t="s">
        <v>524</v>
      </c>
      <c r="C246" s="4" t="s">
        <v>1423</v>
      </c>
      <c r="D246" s="4">
        <v>5</v>
      </c>
      <c r="E246" s="5"/>
      <c r="F246" s="5"/>
      <c r="G246" s="6">
        <v>14</v>
      </c>
      <c r="H246" s="6">
        <v>10</v>
      </c>
      <c r="I246" s="6">
        <v>11</v>
      </c>
      <c r="J246" s="5"/>
      <c r="K246" s="6">
        <v>7</v>
      </c>
      <c r="L246" s="6">
        <v>6</v>
      </c>
      <c r="M246" s="6">
        <v>30</v>
      </c>
      <c r="N246" s="6">
        <v>2</v>
      </c>
      <c r="O246" s="6">
        <v>9</v>
      </c>
      <c r="P246" s="6">
        <v>-16</v>
      </c>
      <c r="Q246" s="6">
        <v>4</v>
      </c>
      <c r="R246" s="5"/>
      <c r="S246" s="6">
        <v>13</v>
      </c>
      <c r="T246" s="5"/>
      <c r="U246" s="6">
        <v>2</v>
      </c>
      <c r="V246" s="5"/>
      <c r="W246" s="6">
        <v>3</v>
      </c>
      <c r="X246" s="6">
        <v>2</v>
      </c>
      <c r="Y246" s="6">
        <v>1</v>
      </c>
      <c r="Z246" s="6">
        <v>2</v>
      </c>
      <c r="AA246" s="6">
        <v>4</v>
      </c>
      <c r="AB246" s="6">
        <v>2</v>
      </c>
      <c r="AC246" s="5"/>
      <c r="AD246" s="6">
        <v>1</v>
      </c>
      <c r="AE246" s="5"/>
      <c r="AF246" s="6">
        <v>1</v>
      </c>
      <c r="AG246" s="6">
        <v>6</v>
      </c>
      <c r="AH246" s="5"/>
      <c r="AI246" s="6">
        <v>1</v>
      </c>
      <c r="AJ246" s="5"/>
      <c r="AK246" s="5"/>
      <c r="AL246" s="6">
        <v>115</v>
      </c>
    </row>
    <row r="247" spans="1:38" ht="11.1" customHeight="1" x14ac:dyDescent="0.2">
      <c r="A247" s="4" t="s">
        <v>525</v>
      </c>
      <c r="B247" s="4" t="s">
        <v>526</v>
      </c>
      <c r="C247" s="4" t="s">
        <v>1424</v>
      </c>
      <c r="D247" s="4">
        <v>10</v>
      </c>
      <c r="E247" s="6">
        <v>10</v>
      </c>
      <c r="F247" s="5"/>
      <c r="G247" s="6">
        <v>31</v>
      </c>
      <c r="H247" s="6">
        <v>24</v>
      </c>
      <c r="I247" s="6">
        <v>49</v>
      </c>
      <c r="J247" s="6">
        <v>3</v>
      </c>
      <c r="K247" s="6">
        <v>13</v>
      </c>
      <c r="L247" s="6">
        <v>24</v>
      </c>
      <c r="M247" s="6">
        <v>17</v>
      </c>
      <c r="N247" s="6">
        <v>4</v>
      </c>
      <c r="O247" s="6">
        <v>19</v>
      </c>
      <c r="P247" s="6">
        <v>-4</v>
      </c>
      <c r="Q247" s="6">
        <v>6</v>
      </c>
      <c r="R247" s="6">
        <v>10</v>
      </c>
      <c r="S247" s="6">
        <v>15</v>
      </c>
      <c r="T247" s="6">
        <v>3</v>
      </c>
      <c r="U247" s="5"/>
      <c r="V247" s="6">
        <v>28</v>
      </c>
      <c r="W247" s="6">
        <v>4</v>
      </c>
      <c r="X247" s="6">
        <v>1</v>
      </c>
      <c r="Y247" s="6">
        <v>7</v>
      </c>
      <c r="Z247" s="6">
        <v>2</v>
      </c>
      <c r="AA247" s="5"/>
      <c r="AB247" s="6">
        <v>12</v>
      </c>
      <c r="AC247" s="6">
        <v>2</v>
      </c>
      <c r="AD247" s="5"/>
      <c r="AE247" s="6">
        <v>5</v>
      </c>
      <c r="AF247" s="6">
        <v>5</v>
      </c>
      <c r="AG247" s="6">
        <v>4</v>
      </c>
      <c r="AH247" s="6">
        <v>9</v>
      </c>
      <c r="AI247" s="5"/>
      <c r="AJ247" s="5"/>
      <c r="AK247" s="6">
        <v>1</v>
      </c>
      <c r="AL247" s="6">
        <v>304</v>
      </c>
    </row>
    <row r="248" spans="1:38" ht="11.1" customHeight="1" x14ac:dyDescent="0.2">
      <c r="A248" s="4" t="s">
        <v>527</v>
      </c>
      <c r="B248" s="4" t="s">
        <v>528</v>
      </c>
      <c r="C248" s="4" t="s">
        <v>1425</v>
      </c>
      <c r="D248" s="4">
        <v>20</v>
      </c>
      <c r="E248" s="5"/>
      <c r="F248" s="6">
        <v>3</v>
      </c>
      <c r="G248" s="6">
        <v>-3</v>
      </c>
      <c r="H248" s="6">
        <v>5</v>
      </c>
      <c r="I248" s="5"/>
      <c r="J248" s="5"/>
      <c r="K248" s="5"/>
      <c r="L248" s="6">
        <v>4</v>
      </c>
      <c r="M248" s="5"/>
      <c r="N248" s="5"/>
      <c r="O248" s="5"/>
      <c r="P248" s="5"/>
      <c r="Q248" s="5"/>
      <c r="R248" s="6">
        <v>1</v>
      </c>
      <c r="S248" s="5"/>
      <c r="T248" s="5"/>
      <c r="U248" s="5"/>
      <c r="V248" s="5"/>
      <c r="W248" s="5"/>
      <c r="X248" s="5"/>
      <c r="Y248" s="5"/>
      <c r="Z248" s="5"/>
      <c r="AA248" s="6">
        <v>5</v>
      </c>
      <c r="AB248" s="5"/>
      <c r="AC248" s="5"/>
      <c r="AD248" s="5"/>
      <c r="AE248" s="5"/>
      <c r="AF248" s="5"/>
      <c r="AG248" s="5"/>
      <c r="AH248" s="5"/>
      <c r="AI248" s="5"/>
      <c r="AJ248" s="6">
        <v>2</v>
      </c>
      <c r="AK248" s="5"/>
      <c r="AL248" s="6">
        <v>17</v>
      </c>
    </row>
    <row r="249" spans="1:38" ht="11.1" customHeight="1" x14ac:dyDescent="0.2">
      <c r="A249" s="4" t="s">
        <v>529</v>
      </c>
      <c r="B249" s="4" t="s">
        <v>530</v>
      </c>
      <c r="C249" s="4" t="s">
        <v>1426</v>
      </c>
      <c r="D249" s="4">
        <v>5</v>
      </c>
      <c r="E249" s="5"/>
      <c r="F249" s="5"/>
      <c r="G249" s="6">
        <v>178</v>
      </c>
      <c r="H249" s="6">
        <v>48</v>
      </c>
      <c r="I249" s="6">
        <v>195</v>
      </c>
      <c r="J249" s="6">
        <v>259</v>
      </c>
      <c r="K249" s="6">
        <v>630</v>
      </c>
      <c r="L249" s="6">
        <v>485</v>
      </c>
      <c r="M249" s="6">
        <v>287</v>
      </c>
      <c r="N249" s="6">
        <v>444</v>
      </c>
      <c r="O249" s="6">
        <v>157</v>
      </c>
      <c r="P249" s="6">
        <v>161</v>
      </c>
      <c r="Q249" s="6">
        <v>95</v>
      </c>
      <c r="R249" s="6">
        <v>135</v>
      </c>
      <c r="S249" s="6">
        <v>30</v>
      </c>
      <c r="T249" s="6">
        <v>195</v>
      </c>
      <c r="U249" s="6">
        <v>64</v>
      </c>
      <c r="V249" s="6">
        <v>35</v>
      </c>
      <c r="W249" s="6">
        <v>120</v>
      </c>
      <c r="X249" s="6">
        <v>53</v>
      </c>
      <c r="Y249" s="6">
        <v>514</v>
      </c>
      <c r="Z249" s="6">
        <v>209</v>
      </c>
      <c r="AA249" s="6">
        <v>139</v>
      </c>
      <c r="AB249" s="6">
        <v>389</v>
      </c>
      <c r="AC249" s="6">
        <v>42</v>
      </c>
      <c r="AD249" s="6">
        <v>267</v>
      </c>
      <c r="AE249" s="6">
        <v>95</v>
      </c>
      <c r="AF249" s="6">
        <v>48</v>
      </c>
      <c r="AG249" s="6">
        <v>163</v>
      </c>
      <c r="AH249" s="6">
        <v>6</v>
      </c>
      <c r="AI249" s="6">
        <v>125</v>
      </c>
      <c r="AJ249" s="6">
        <v>111</v>
      </c>
      <c r="AK249" s="6">
        <v>138</v>
      </c>
      <c r="AL249" s="7">
        <v>5817</v>
      </c>
    </row>
    <row r="250" spans="1:38" ht="11.1" customHeight="1" x14ac:dyDescent="0.2">
      <c r="A250" s="4" t="s">
        <v>531</v>
      </c>
      <c r="B250" s="4" t="s">
        <v>532</v>
      </c>
      <c r="C250" s="4" t="s">
        <v>1427</v>
      </c>
      <c r="D250" s="4">
        <v>5</v>
      </c>
      <c r="E250" s="5"/>
      <c r="F250" s="6">
        <v>22</v>
      </c>
      <c r="G250" s="6">
        <v>8</v>
      </c>
      <c r="H250" s="6">
        <v>2</v>
      </c>
      <c r="I250" s="6">
        <v>20</v>
      </c>
      <c r="J250" s="6">
        <v>36</v>
      </c>
      <c r="K250" s="6">
        <v>24</v>
      </c>
      <c r="L250" s="6">
        <v>31</v>
      </c>
      <c r="M250" s="6">
        <v>38</v>
      </c>
      <c r="N250" s="6">
        <v>19</v>
      </c>
      <c r="O250" s="6">
        <v>36</v>
      </c>
      <c r="P250" s="5"/>
      <c r="Q250" s="6">
        <v>22</v>
      </c>
      <c r="R250" s="6">
        <v>12</v>
      </c>
      <c r="S250" s="6">
        <v>11</v>
      </c>
      <c r="T250" s="5"/>
      <c r="U250" s="6">
        <v>1</v>
      </c>
      <c r="V250" s="5"/>
      <c r="W250" s="6">
        <v>52</v>
      </c>
      <c r="X250" s="6">
        <v>2</v>
      </c>
      <c r="Y250" s="6">
        <v>6</v>
      </c>
      <c r="Z250" s="6">
        <v>5</v>
      </c>
      <c r="AA250" s="6">
        <v>3</v>
      </c>
      <c r="AB250" s="6">
        <v>59</v>
      </c>
      <c r="AC250" s="6">
        <v>8</v>
      </c>
      <c r="AD250" s="6">
        <v>15</v>
      </c>
      <c r="AE250" s="6">
        <v>18</v>
      </c>
      <c r="AF250" s="5"/>
      <c r="AG250" s="6">
        <v>6</v>
      </c>
      <c r="AH250" s="6">
        <v>1</v>
      </c>
      <c r="AI250" s="6">
        <v>13</v>
      </c>
      <c r="AJ250" s="5"/>
      <c r="AK250" s="6">
        <v>9</v>
      </c>
      <c r="AL250" s="6">
        <v>479</v>
      </c>
    </row>
    <row r="251" spans="1:38" ht="11.1" customHeight="1" x14ac:dyDescent="0.2">
      <c r="A251" s="4" t="s">
        <v>533</v>
      </c>
      <c r="B251" s="4" t="s">
        <v>534</v>
      </c>
      <c r="C251" s="4" t="s">
        <v>1428</v>
      </c>
      <c r="D251" s="4">
        <v>5</v>
      </c>
      <c r="E251" s="5"/>
      <c r="F251" s="5"/>
      <c r="G251" s="5"/>
      <c r="H251" s="6">
        <v>7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>
        <v>1</v>
      </c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6">
        <v>1</v>
      </c>
      <c r="AL251" s="6">
        <v>9</v>
      </c>
    </row>
    <row r="252" spans="1:38" ht="11.1" customHeight="1" x14ac:dyDescent="0.2">
      <c r="A252" s="4" t="s">
        <v>535</v>
      </c>
      <c r="B252" s="4" t="s">
        <v>536</v>
      </c>
      <c r="C252" s="4" t="s">
        <v>1429</v>
      </c>
      <c r="D252" s="4">
        <v>5</v>
      </c>
      <c r="E252" s="6">
        <v>1</v>
      </c>
      <c r="F252" s="6">
        <v>7</v>
      </c>
      <c r="G252" s="6">
        <v>19</v>
      </c>
      <c r="H252" s="6">
        <v>2</v>
      </c>
      <c r="I252" s="6">
        <v>17</v>
      </c>
      <c r="J252" s="6">
        <v>15</v>
      </c>
      <c r="K252" s="6">
        <v>45</v>
      </c>
      <c r="L252" s="6">
        <v>66</v>
      </c>
      <c r="M252" s="6">
        <v>32</v>
      </c>
      <c r="N252" s="6">
        <v>46</v>
      </c>
      <c r="O252" s="6">
        <v>12</v>
      </c>
      <c r="P252" s="6">
        <v>1</v>
      </c>
      <c r="Q252" s="6">
        <v>25</v>
      </c>
      <c r="R252" s="6">
        <v>9</v>
      </c>
      <c r="S252" s="6">
        <v>5</v>
      </c>
      <c r="T252" s="6">
        <v>6</v>
      </c>
      <c r="U252" s="6">
        <v>3</v>
      </c>
      <c r="V252" s="6">
        <v>6</v>
      </c>
      <c r="W252" s="6">
        <v>20</v>
      </c>
      <c r="X252" s="6">
        <v>3</v>
      </c>
      <c r="Y252" s="6">
        <v>10</v>
      </c>
      <c r="Z252" s="6">
        <v>13</v>
      </c>
      <c r="AA252" s="6">
        <v>8</v>
      </c>
      <c r="AB252" s="6">
        <v>31</v>
      </c>
      <c r="AC252" s="6">
        <v>3</v>
      </c>
      <c r="AD252" s="6">
        <v>10</v>
      </c>
      <c r="AE252" s="6">
        <v>9</v>
      </c>
      <c r="AF252" s="6">
        <v>6</v>
      </c>
      <c r="AG252" s="6">
        <v>7</v>
      </c>
      <c r="AH252" s="6">
        <v>5</v>
      </c>
      <c r="AI252" s="6">
        <v>6</v>
      </c>
      <c r="AJ252" s="6">
        <v>8</v>
      </c>
      <c r="AK252" s="6">
        <v>2</v>
      </c>
      <c r="AL252" s="6">
        <v>458</v>
      </c>
    </row>
    <row r="253" spans="1:38" ht="11.1" customHeight="1" x14ac:dyDescent="0.2">
      <c r="A253" s="4" t="s">
        <v>537</v>
      </c>
      <c r="B253" s="4" t="s">
        <v>538</v>
      </c>
      <c r="C253" s="4" t="s">
        <v>1430</v>
      </c>
      <c r="D253" s="4">
        <v>5</v>
      </c>
      <c r="E253" s="5"/>
      <c r="F253" s="5"/>
      <c r="G253" s="5"/>
      <c r="H253" s="5"/>
      <c r="I253" s="5"/>
      <c r="J253" s="6">
        <v>8</v>
      </c>
      <c r="K253" s="5"/>
      <c r="L253" s="5"/>
      <c r="M253" s="6">
        <v>5</v>
      </c>
      <c r="N253" s="6">
        <v>7</v>
      </c>
      <c r="O253" s="6">
        <v>2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>
        <v>4</v>
      </c>
      <c r="AA253" s="5"/>
      <c r="AB253" s="5"/>
      <c r="AC253" s="6">
        <v>5</v>
      </c>
      <c r="AD253" s="5"/>
      <c r="AE253" s="5"/>
      <c r="AF253" s="6">
        <v>1</v>
      </c>
      <c r="AG253" s="5"/>
      <c r="AH253" s="5"/>
      <c r="AI253" s="5"/>
      <c r="AJ253" s="6">
        <v>3</v>
      </c>
      <c r="AK253" s="5"/>
      <c r="AL253" s="6">
        <v>35</v>
      </c>
    </row>
    <row r="254" spans="1:38" ht="11.1" customHeight="1" x14ac:dyDescent="0.2">
      <c r="A254" s="4" t="s">
        <v>539</v>
      </c>
      <c r="B254" s="4" t="s">
        <v>540</v>
      </c>
      <c r="C254" s="4" t="s">
        <v>1431</v>
      </c>
      <c r="D254" s="4">
        <v>5</v>
      </c>
      <c r="E254" s="5"/>
      <c r="F254" s="5"/>
      <c r="G254" s="6">
        <v>3</v>
      </c>
      <c r="H254" s="5"/>
      <c r="I254" s="6">
        <v>1</v>
      </c>
      <c r="J254" s="6">
        <v>2</v>
      </c>
      <c r="K254" s="5"/>
      <c r="L254" s="6">
        <v>1</v>
      </c>
      <c r="M254" s="6">
        <v>15</v>
      </c>
      <c r="N254" s="6">
        <v>11</v>
      </c>
      <c r="O254" s="6">
        <v>3</v>
      </c>
      <c r="P254" s="6">
        <v>8</v>
      </c>
      <c r="Q254" s="6">
        <v>1</v>
      </c>
      <c r="R254" s="6">
        <v>2</v>
      </c>
      <c r="S254" s="5"/>
      <c r="T254" s="5"/>
      <c r="U254" s="5"/>
      <c r="V254" s="5"/>
      <c r="W254" s="6">
        <v>2</v>
      </c>
      <c r="X254" s="6">
        <v>-1</v>
      </c>
      <c r="Y254" s="5"/>
      <c r="Z254" s="5"/>
      <c r="AA254" s="5"/>
      <c r="AB254" s="6">
        <v>11</v>
      </c>
      <c r="AC254" s="5"/>
      <c r="AD254" s="6">
        <v>1</v>
      </c>
      <c r="AE254" s="6">
        <v>1</v>
      </c>
      <c r="AF254" s="5"/>
      <c r="AG254" s="5"/>
      <c r="AH254" s="6">
        <v>2</v>
      </c>
      <c r="AI254" s="5"/>
      <c r="AJ254" s="6">
        <v>1</v>
      </c>
      <c r="AK254" s="6">
        <v>1</v>
      </c>
      <c r="AL254" s="6">
        <v>65</v>
      </c>
    </row>
    <row r="255" spans="1:38" ht="11.1" customHeight="1" x14ac:dyDescent="0.2">
      <c r="A255" s="4" t="s">
        <v>541</v>
      </c>
      <c r="B255" s="4" t="s">
        <v>542</v>
      </c>
      <c r="C255" s="4" t="s">
        <v>1432</v>
      </c>
      <c r="D255" s="4">
        <v>1</v>
      </c>
      <c r="E255" s="5"/>
      <c r="F255" s="6">
        <v>12</v>
      </c>
      <c r="G255" s="6">
        <v>8</v>
      </c>
      <c r="H255" s="6">
        <v>3</v>
      </c>
      <c r="I255" s="6">
        <v>9</v>
      </c>
      <c r="J255" s="6">
        <v>13</v>
      </c>
      <c r="K255" s="6">
        <v>24</v>
      </c>
      <c r="L255" s="6">
        <v>23</v>
      </c>
      <c r="M255" s="6">
        <v>26</v>
      </c>
      <c r="N255" s="6">
        <v>15</v>
      </c>
      <c r="O255" s="6">
        <v>10</v>
      </c>
      <c r="P255" s="6">
        <v>4</v>
      </c>
      <c r="Q255" s="6">
        <v>6</v>
      </c>
      <c r="R255" s="6">
        <v>1</v>
      </c>
      <c r="S255" s="5"/>
      <c r="T255" s="6">
        <v>1</v>
      </c>
      <c r="U255" s="5"/>
      <c r="V255" s="6">
        <v>1</v>
      </c>
      <c r="W255" s="6">
        <v>7</v>
      </c>
      <c r="X255" s="6">
        <v>5</v>
      </c>
      <c r="Y255" s="6">
        <v>45</v>
      </c>
      <c r="Z255" s="6">
        <v>5</v>
      </c>
      <c r="AA255" s="6">
        <v>14</v>
      </c>
      <c r="AB255" s="6">
        <v>28</v>
      </c>
      <c r="AC255" s="6">
        <v>1</v>
      </c>
      <c r="AD255" s="6">
        <v>21</v>
      </c>
      <c r="AE255" s="6">
        <v>11</v>
      </c>
      <c r="AF255" s="6">
        <v>6</v>
      </c>
      <c r="AG255" s="6">
        <v>16</v>
      </c>
      <c r="AH255" s="6">
        <v>7</v>
      </c>
      <c r="AI255" s="6">
        <v>7</v>
      </c>
      <c r="AJ255" s="6">
        <v>10</v>
      </c>
      <c r="AK255" s="6">
        <v>7</v>
      </c>
      <c r="AL255" s="6">
        <v>346</v>
      </c>
    </row>
    <row r="256" spans="1:38" ht="11.1" customHeight="1" x14ac:dyDescent="0.2">
      <c r="A256" s="4" t="s">
        <v>543</v>
      </c>
      <c r="B256" s="4" t="s">
        <v>544</v>
      </c>
      <c r="C256" s="4" t="s">
        <v>1433</v>
      </c>
      <c r="D256" s="4">
        <v>5</v>
      </c>
      <c r="E256" s="5"/>
      <c r="F256" s="6">
        <v>18</v>
      </c>
      <c r="G256" s="6">
        <v>9</v>
      </c>
      <c r="H256" s="6">
        <v>26</v>
      </c>
      <c r="I256" s="5"/>
      <c r="J256" s="6">
        <v>14</v>
      </c>
      <c r="K256" s="6">
        <v>33</v>
      </c>
      <c r="L256" s="6">
        <v>22</v>
      </c>
      <c r="M256" s="6">
        <v>24</v>
      </c>
      <c r="N256" s="6">
        <v>16</v>
      </c>
      <c r="O256" s="6">
        <v>18</v>
      </c>
      <c r="P256" s="5"/>
      <c r="Q256" s="5"/>
      <c r="R256" s="6">
        <v>4</v>
      </c>
      <c r="S256" s="5"/>
      <c r="T256" s="6">
        <v>23</v>
      </c>
      <c r="U256" s="6">
        <v>11</v>
      </c>
      <c r="V256" s="6">
        <v>1</v>
      </c>
      <c r="W256" s="5"/>
      <c r="X256" s="5"/>
      <c r="Y256" s="6">
        <v>20</v>
      </c>
      <c r="Z256" s="6">
        <v>12</v>
      </c>
      <c r="AA256" s="6">
        <v>12</v>
      </c>
      <c r="AB256" s="6">
        <v>25</v>
      </c>
      <c r="AC256" s="5"/>
      <c r="AD256" s="5"/>
      <c r="AE256" s="5"/>
      <c r="AF256" s="6">
        <v>1</v>
      </c>
      <c r="AG256" s="6">
        <v>2</v>
      </c>
      <c r="AH256" s="5"/>
      <c r="AI256" s="6">
        <v>4</v>
      </c>
      <c r="AJ256" s="6">
        <v>2</v>
      </c>
      <c r="AK256" s="6">
        <v>1</v>
      </c>
      <c r="AL256" s="6">
        <v>298</v>
      </c>
    </row>
    <row r="257" spans="1:38" ht="11.1" customHeight="1" x14ac:dyDescent="0.2">
      <c r="A257" s="4" t="s">
        <v>545</v>
      </c>
      <c r="B257" s="4" t="s">
        <v>546</v>
      </c>
      <c r="C257" s="4" t="s">
        <v>1434</v>
      </c>
      <c r="D257" s="4">
        <v>1</v>
      </c>
      <c r="E257" s="5"/>
      <c r="F257" s="5"/>
      <c r="G257" s="5"/>
      <c r="H257" s="6">
        <v>3</v>
      </c>
      <c r="I257" s="5"/>
      <c r="J257" s="6">
        <v>8</v>
      </c>
      <c r="K257" s="6">
        <v>6</v>
      </c>
      <c r="L257" s="6">
        <v>5</v>
      </c>
      <c r="M257" s="6">
        <v>10</v>
      </c>
      <c r="N257" s="6">
        <v>10</v>
      </c>
      <c r="O257" s="6">
        <v>15</v>
      </c>
      <c r="P257" s="5"/>
      <c r="Q257" s="5"/>
      <c r="R257" s="5"/>
      <c r="S257" s="5"/>
      <c r="T257" s="5"/>
      <c r="U257" s="5"/>
      <c r="V257" s="5"/>
      <c r="W257" s="5"/>
      <c r="X257" s="5"/>
      <c r="Y257" s="6">
        <v>4</v>
      </c>
      <c r="Z257" s="6">
        <v>2</v>
      </c>
      <c r="AA257" s="6">
        <v>4</v>
      </c>
      <c r="AB257" s="6">
        <v>5</v>
      </c>
      <c r="AC257" s="5"/>
      <c r="AD257" s="5"/>
      <c r="AE257" s="6">
        <v>1</v>
      </c>
      <c r="AF257" s="5"/>
      <c r="AG257" s="5"/>
      <c r="AH257" s="5"/>
      <c r="AI257" s="5"/>
      <c r="AJ257" s="5"/>
      <c r="AK257" s="5"/>
      <c r="AL257" s="6">
        <v>73</v>
      </c>
    </row>
    <row r="258" spans="1:38" ht="11.1" customHeight="1" x14ac:dyDescent="0.2">
      <c r="A258" s="4" t="s">
        <v>547</v>
      </c>
      <c r="B258" s="4" t="s">
        <v>548</v>
      </c>
      <c r="C258" s="4" t="s">
        <v>1435</v>
      </c>
      <c r="D258" s="4">
        <v>6</v>
      </c>
      <c r="E258" s="6">
        <v>2</v>
      </c>
      <c r="F258" s="5"/>
      <c r="G258" s="5"/>
      <c r="H258" s="5"/>
      <c r="I258" s="5"/>
      <c r="J258" s="6">
        <v>1</v>
      </c>
      <c r="K258" s="6">
        <v>1</v>
      </c>
      <c r="L258" s="6">
        <v>22</v>
      </c>
      <c r="M258" s="6">
        <v>33</v>
      </c>
      <c r="N258" s="6">
        <v>5</v>
      </c>
      <c r="O258" s="5"/>
      <c r="P258" s="5"/>
      <c r="Q258" s="6">
        <v>35</v>
      </c>
      <c r="R258" s="6">
        <v>18</v>
      </c>
      <c r="S258" s="5"/>
      <c r="T258" s="6">
        <v>10</v>
      </c>
      <c r="U258" s="5"/>
      <c r="V258" s="5"/>
      <c r="W258" s="6">
        <v>11</v>
      </c>
      <c r="X258" s="5"/>
      <c r="Y258" s="6">
        <v>2</v>
      </c>
      <c r="Z258" s="6">
        <v>1</v>
      </c>
      <c r="AA258" s="5"/>
      <c r="AB258" s="5"/>
      <c r="AC258" s="6">
        <v>15</v>
      </c>
      <c r="AD258" s="5"/>
      <c r="AE258" s="5"/>
      <c r="AF258" s="5"/>
      <c r="AG258" s="6">
        <v>2</v>
      </c>
      <c r="AH258" s="5"/>
      <c r="AI258" s="6">
        <v>5</v>
      </c>
      <c r="AJ258" s="5"/>
      <c r="AK258" s="5"/>
      <c r="AL258" s="6">
        <v>163</v>
      </c>
    </row>
    <row r="259" spans="1:38" ht="11.1" customHeight="1" x14ac:dyDescent="0.2">
      <c r="A259" s="4" t="s">
        <v>549</v>
      </c>
      <c r="B259" s="4" t="s">
        <v>550</v>
      </c>
      <c r="C259" s="4" t="s">
        <v>1436</v>
      </c>
      <c r="D259" s="4">
        <v>6</v>
      </c>
      <c r="E259" s="5"/>
      <c r="F259" s="5"/>
      <c r="G259" s="6">
        <v>7</v>
      </c>
      <c r="H259" s="6">
        <v>3</v>
      </c>
      <c r="I259" s="5"/>
      <c r="J259" s="6">
        <v>10</v>
      </c>
      <c r="K259" s="6">
        <v>6</v>
      </c>
      <c r="L259" s="6">
        <v>35</v>
      </c>
      <c r="M259" s="6">
        <v>10</v>
      </c>
      <c r="N259" s="6">
        <v>13</v>
      </c>
      <c r="O259" s="6">
        <v>34</v>
      </c>
      <c r="P259" s="6">
        <v>5</v>
      </c>
      <c r="Q259" s="6">
        <v>20</v>
      </c>
      <c r="R259" s="6">
        <v>1</v>
      </c>
      <c r="S259" s="5"/>
      <c r="T259" s="6">
        <v>2</v>
      </c>
      <c r="U259" s="5"/>
      <c r="V259" s="6">
        <v>20</v>
      </c>
      <c r="W259" s="5"/>
      <c r="X259" s="6">
        <v>1</v>
      </c>
      <c r="Y259" s="5"/>
      <c r="Z259" s="6">
        <v>14</v>
      </c>
      <c r="AA259" s="6">
        <v>35</v>
      </c>
      <c r="AB259" s="6">
        <v>4</v>
      </c>
      <c r="AC259" s="5"/>
      <c r="AD259" s="6">
        <v>2</v>
      </c>
      <c r="AE259" s="6">
        <v>12</v>
      </c>
      <c r="AF259" s="6">
        <v>7</v>
      </c>
      <c r="AG259" s="6">
        <v>5</v>
      </c>
      <c r="AH259" s="6">
        <v>2</v>
      </c>
      <c r="AI259" s="6">
        <v>2</v>
      </c>
      <c r="AJ259" s="6">
        <v>2</v>
      </c>
      <c r="AK259" s="6">
        <v>12</v>
      </c>
      <c r="AL259" s="6">
        <v>264</v>
      </c>
    </row>
    <row r="260" spans="1:38" ht="11.1" customHeight="1" x14ac:dyDescent="0.2">
      <c r="A260" s="4" t="s">
        <v>551</v>
      </c>
      <c r="B260" s="4" t="s">
        <v>552</v>
      </c>
      <c r="C260" s="4" t="s">
        <v>1437</v>
      </c>
      <c r="D260" s="4">
        <v>1</v>
      </c>
      <c r="E260" s="5"/>
      <c r="F260" s="5"/>
      <c r="G260" s="5"/>
      <c r="H260" s="6">
        <v>1</v>
      </c>
      <c r="I260" s="5"/>
      <c r="J260" s="5"/>
      <c r="K260" s="6">
        <v>2</v>
      </c>
      <c r="L260" s="6">
        <v>6</v>
      </c>
      <c r="M260" s="5"/>
      <c r="N260" s="6">
        <v>2</v>
      </c>
      <c r="O260" s="5"/>
      <c r="P260" s="5"/>
      <c r="Q260" s="6">
        <v>3</v>
      </c>
      <c r="R260" s="5"/>
      <c r="S260" s="5"/>
      <c r="T260" s="5"/>
      <c r="U260" s="5"/>
      <c r="V260" s="5"/>
      <c r="W260" s="5"/>
      <c r="X260" s="6">
        <v>2</v>
      </c>
      <c r="Y260" s="6">
        <v>3</v>
      </c>
      <c r="Z260" s="5"/>
      <c r="AA260" s="6">
        <v>1</v>
      </c>
      <c r="AB260" s="5"/>
      <c r="AC260" s="5"/>
      <c r="AD260" s="6">
        <v>8</v>
      </c>
      <c r="AE260" s="5"/>
      <c r="AF260" s="5"/>
      <c r="AG260" s="5"/>
      <c r="AH260" s="5"/>
      <c r="AI260" s="6">
        <v>1</v>
      </c>
      <c r="AJ260" s="6">
        <v>1</v>
      </c>
      <c r="AK260" s="5"/>
      <c r="AL260" s="6">
        <v>30</v>
      </c>
    </row>
    <row r="261" spans="1:38" ht="11.1" customHeight="1" x14ac:dyDescent="0.2">
      <c r="A261" s="4" t="s">
        <v>553</v>
      </c>
      <c r="B261" s="4" t="s">
        <v>554</v>
      </c>
      <c r="C261" s="4" t="s">
        <v>1438</v>
      </c>
      <c r="D261" s="4">
        <v>5</v>
      </c>
      <c r="E261" s="5"/>
      <c r="F261" s="5"/>
      <c r="G261" s="6">
        <v>10</v>
      </c>
      <c r="H261" s="6">
        <v>1</v>
      </c>
      <c r="I261" s="5"/>
      <c r="J261" s="6">
        <v>22</v>
      </c>
      <c r="K261" s="5"/>
      <c r="L261" s="6">
        <v>16</v>
      </c>
      <c r="M261" s="5"/>
      <c r="N261" s="6">
        <v>1</v>
      </c>
      <c r="O261" s="6">
        <v>28</v>
      </c>
      <c r="P261" s="6">
        <v>1</v>
      </c>
      <c r="Q261" s="6">
        <v>5</v>
      </c>
      <c r="R261" s="5"/>
      <c r="S261" s="5"/>
      <c r="T261" s="5"/>
      <c r="U261" s="5"/>
      <c r="V261" s="6">
        <v>2</v>
      </c>
      <c r="W261" s="5"/>
      <c r="X261" s="5"/>
      <c r="Y261" s="6">
        <v>2</v>
      </c>
      <c r="Z261" s="6">
        <v>3</v>
      </c>
      <c r="AA261" s="5"/>
      <c r="AB261" s="5"/>
      <c r="AC261" s="5"/>
      <c r="AD261" s="5"/>
      <c r="AE261" s="6">
        <v>3</v>
      </c>
      <c r="AF261" s="5"/>
      <c r="AG261" s="5"/>
      <c r="AH261" s="5"/>
      <c r="AI261" s="6">
        <v>1</v>
      </c>
      <c r="AJ261" s="5"/>
      <c r="AK261" s="6">
        <v>23</v>
      </c>
      <c r="AL261" s="6">
        <v>118</v>
      </c>
    </row>
    <row r="262" spans="1:38" ht="11.1" customHeight="1" x14ac:dyDescent="0.2">
      <c r="A262" s="4" t="s">
        <v>555</v>
      </c>
      <c r="B262" s="4" t="s">
        <v>556</v>
      </c>
      <c r="C262" s="4" t="s">
        <v>1439</v>
      </c>
      <c r="D262" s="4">
        <v>5</v>
      </c>
      <c r="E262" s="5"/>
      <c r="F262" s="6">
        <v>6</v>
      </c>
      <c r="G262" s="6">
        <v>1</v>
      </c>
      <c r="H262" s="5"/>
      <c r="I262" s="6">
        <v>1</v>
      </c>
      <c r="J262" s="6">
        <v>8</v>
      </c>
      <c r="K262" s="6">
        <v>2</v>
      </c>
      <c r="L262" s="5"/>
      <c r="M262" s="6">
        <v>1</v>
      </c>
      <c r="N262" s="6">
        <v>4</v>
      </c>
      <c r="O262" s="6">
        <v>1</v>
      </c>
      <c r="P262" s="5"/>
      <c r="Q262" s="6">
        <v>2</v>
      </c>
      <c r="R262" s="6">
        <v>1</v>
      </c>
      <c r="S262" s="5"/>
      <c r="T262" s="6">
        <v>2</v>
      </c>
      <c r="U262" s="5"/>
      <c r="V262" s="5"/>
      <c r="W262" s="5"/>
      <c r="X262" s="6">
        <v>1</v>
      </c>
      <c r="Y262" s="5"/>
      <c r="Z262" s="6">
        <v>3</v>
      </c>
      <c r="AA262" s="5"/>
      <c r="AB262" s="5"/>
      <c r="AC262" s="5"/>
      <c r="AD262" s="6">
        <v>2</v>
      </c>
      <c r="AE262" s="6">
        <v>5</v>
      </c>
      <c r="AF262" s="6">
        <v>2</v>
      </c>
      <c r="AG262" s="5"/>
      <c r="AH262" s="5"/>
      <c r="AI262" s="5"/>
      <c r="AJ262" s="6">
        <v>3</v>
      </c>
      <c r="AK262" s="5"/>
      <c r="AL262" s="6">
        <v>45</v>
      </c>
    </row>
    <row r="263" spans="1:38" ht="11.1" customHeight="1" x14ac:dyDescent="0.2">
      <c r="A263" s="4" t="s">
        <v>557</v>
      </c>
      <c r="B263" s="4" t="s">
        <v>558</v>
      </c>
      <c r="C263" s="4" t="s">
        <v>1440</v>
      </c>
      <c r="D263" s="4">
        <v>1</v>
      </c>
      <c r="E263" s="5"/>
      <c r="F263" s="5"/>
      <c r="G263" s="5"/>
      <c r="H263" s="5"/>
      <c r="I263" s="5"/>
      <c r="J263" s="6">
        <v>2</v>
      </c>
      <c r="K263" s="5"/>
      <c r="L263" s="6">
        <v>1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6">
        <v>1</v>
      </c>
      <c r="X263" s="5"/>
      <c r="Y263" s="6">
        <v>15</v>
      </c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6">
        <v>1</v>
      </c>
      <c r="AL263" s="6">
        <v>20</v>
      </c>
    </row>
    <row r="264" spans="1:38" ht="11.1" customHeight="1" x14ac:dyDescent="0.2">
      <c r="A264" s="4" t="s">
        <v>559</v>
      </c>
      <c r="B264" s="4" t="s">
        <v>560</v>
      </c>
      <c r="C264" s="4" t="s">
        <v>1441</v>
      </c>
      <c r="D264" s="4">
        <v>10</v>
      </c>
      <c r="E264" s="5"/>
      <c r="F264" s="5"/>
      <c r="G264" s="6">
        <v>66</v>
      </c>
      <c r="H264" s="6">
        <v>24</v>
      </c>
      <c r="I264" s="6">
        <v>117</v>
      </c>
      <c r="J264" s="6">
        <v>106</v>
      </c>
      <c r="K264" s="6">
        <v>152</v>
      </c>
      <c r="L264" s="6">
        <v>79</v>
      </c>
      <c r="M264" s="6">
        <v>163</v>
      </c>
      <c r="N264" s="6">
        <v>181</v>
      </c>
      <c r="O264" s="6">
        <v>123</v>
      </c>
      <c r="P264" s="6">
        <v>94</v>
      </c>
      <c r="Q264" s="6">
        <v>43</v>
      </c>
      <c r="R264" s="6">
        <v>71</v>
      </c>
      <c r="S264" s="6">
        <v>65</v>
      </c>
      <c r="T264" s="6">
        <v>157</v>
      </c>
      <c r="U264" s="6">
        <v>15</v>
      </c>
      <c r="V264" s="6">
        <v>84</v>
      </c>
      <c r="W264" s="6">
        <v>142</v>
      </c>
      <c r="X264" s="6">
        <v>23</v>
      </c>
      <c r="Y264" s="6">
        <v>196</v>
      </c>
      <c r="Z264" s="6">
        <v>113</v>
      </c>
      <c r="AA264" s="6">
        <v>69</v>
      </c>
      <c r="AB264" s="6">
        <v>305</v>
      </c>
      <c r="AC264" s="6">
        <v>17</v>
      </c>
      <c r="AD264" s="6">
        <v>113</v>
      </c>
      <c r="AE264" s="6">
        <v>30</v>
      </c>
      <c r="AF264" s="6">
        <v>100</v>
      </c>
      <c r="AG264" s="6">
        <v>93</v>
      </c>
      <c r="AH264" s="6">
        <v>20</v>
      </c>
      <c r="AI264" s="6">
        <v>70</v>
      </c>
      <c r="AJ264" s="6">
        <v>75</v>
      </c>
      <c r="AK264" s="6">
        <v>91</v>
      </c>
      <c r="AL264" s="7">
        <v>2997</v>
      </c>
    </row>
    <row r="265" spans="1:38" ht="11.1" customHeight="1" x14ac:dyDescent="0.2">
      <c r="A265" s="4" t="s">
        <v>561</v>
      </c>
      <c r="B265" s="4" t="s">
        <v>562</v>
      </c>
      <c r="C265" s="4" t="s">
        <v>1442</v>
      </c>
      <c r="D265" s="4">
        <v>5</v>
      </c>
      <c r="E265" s="5"/>
      <c r="F265" s="5"/>
      <c r="G265" s="6">
        <v>56</v>
      </c>
      <c r="H265" s="6">
        <v>15</v>
      </c>
      <c r="I265" s="6">
        <v>56</v>
      </c>
      <c r="J265" s="6">
        <v>130</v>
      </c>
      <c r="K265" s="6">
        <v>144</v>
      </c>
      <c r="L265" s="6">
        <v>65</v>
      </c>
      <c r="M265" s="6">
        <v>94</v>
      </c>
      <c r="N265" s="6">
        <v>129</v>
      </c>
      <c r="O265" s="6">
        <v>60</v>
      </c>
      <c r="P265" s="6">
        <v>12</v>
      </c>
      <c r="Q265" s="6">
        <v>15</v>
      </c>
      <c r="R265" s="6">
        <v>15</v>
      </c>
      <c r="S265" s="6">
        <v>42</v>
      </c>
      <c r="T265" s="6">
        <v>29</v>
      </c>
      <c r="U265" s="6">
        <v>22</v>
      </c>
      <c r="V265" s="6">
        <v>43</v>
      </c>
      <c r="W265" s="6">
        <v>26</v>
      </c>
      <c r="X265" s="6">
        <v>3</v>
      </c>
      <c r="Y265" s="6">
        <v>37</v>
      </c>
      <c r="Z265" s="6">
        <v>38</v>
      </c>
      <c r="AA265" s="6">
        <v>50</v>
      </c>
      <c r="AB265" s="6">
        <v>90</v>
      </c>
      <c r="AC265" s="6">
        <v>15</v>
      </c>
      <c r="AD265" s="6">
        <v>42</v>
      </c>
      <c r="AE265" s="6">
        <v>37</v>
      </c>
      <c r="AF265" s="6">
        <v>8</v>
      </c>
      <c r="AG265" s="6">
        <v>46</v>
      </c>
      <c r="AH265" s="6">
        <v>1</v>
      </c>
      <c r="AI265" s="6">
        <v>40</v>
      </c>
      <c r="AJ265" s="6">
        <v>37</v>
      </c>
      <c r="AK265" s="6">
        <v>24</v>
      </c>
      <c r="AL265" s="7">
        <v>1421</v>
      </c>
    </row>
    <row r="266" spans="1:38" ht="11.1" customHeight="1" x14ac:dyDescent="0.2">
      <c r="A266" s="4" t="s">
        <v>563</v>
      </c>
      <c r="B266" s="4" t="s">
        <v>564</v>
      </c>
      <c r="C266" s="4" t="s">
        <v>1443</v>
      </c>
      <c r="D266" s="4">
        <v>5</v>
      </c>
      <c r="E266" s="6">
        <v>3</v>
      </c>
      <c r="F266" s="5"/>
      <c r="G266" s="6">
        <v>6</v>
      </c>
      <c r="H266" s="6">
        <v>7</v>
      </c>
      <c r="I266" s="6">
        <v>28</v>
      </c>
      <c r="J266" s="6">
        <v>86</v>
      </c>
      <c r="K266" s="6">
        <v>42</v>
      </c>
      <c r="L266" s="6">
        <v>59</v>
      </c>
      <c r="M266" s="6">
        <v>46</v>
      </c>
      <c r="N266" s="6">
        <v>49</v>
      </c>
      <c r="O266" s="6">
        <v>28</v>
      </c>
      <c r="P266" s="6">
        <v>15</v>
      </c>
      <c r="Q266" s="6">
        <v>8</v>
      </c>
      <c r="R266" s="6">
        <v>5</v>
      </c>
      <c r="S266" s="6">
        <v>15</v>
      </c>
      <c r="T266" s="6">
        <v>8</v>
      </c>
      <c r="U266" s="6">
        <v>13</v>
      </c>
      <c r="V266" s="6">
        <v>6</v>
      </c>
      <c r="W266" s="6">
        <v>21</v>
      </c>
      <c r="X266" s="6">
        <v>9</v>
      </c>
      <c r="Y266" s="6">
        <v>15</v>
      </c>
      <c r="Z266" s="6">
        <v>11</v>
      </c>
      <c r="AA266" s="6">
        <v>24</v>
      </c>
      <c r="AB266" s="6">
        <v>32</v>
      </c>
      <c r="AC266" s="6">
        <v>1</v>
      </c>
      <c r="AD266" s="6">
        <v>13</v>
      </c>
      <c r="AE266" s="6">
        <v>6</v>
      </c>
      <c r="AF266" s="6">
        <v>5</v>
      </c>
      <c r="AG266" s="6">
        <v>21</v>
      </c>
      <c r="AH266" s="6">
        <v>6</v>
      </c>
      <c r="AI266" s="6">
        <v>14</v>
      </c>
      <c r="AJ266" s="6">
        <v>12</v>
      </c>
      <c r="AK266" s="6">
        <v>16</v>
      </c>
      <c r="AL266" s="6">
        <v>630</v>
      </c>
    </row>
    <row r="267" spans="1:38" ht="11.1" customHeight="1" x14ac:dyDescent="0.2">
      <c r="A267" s="4" t="s">
        <v>565</v>
      </c>
      <c r="B267" s="4" t="s">
        <v>566</v>
      </c>
      <c r="C267" s="4" t="s">
        <v>1444</v>
      </c>
      <c r="D267" s="4">
        <v>5</v>
      </c>
      <c r="E267" s="5"/>
      <c r="F267" s="5"/>
      <c r="G267" s="6">
        <v>9</v>
      </c>
      <c r="H267" s="6">
        <v>4</v>
      </c>
      <c r="I267" s="6">
        <v>12</v>
      </c>
      <c r="J267" s="6">
        <v>25</v>
      </c>
      <c r="K267" s="6">
        <v>25</v>
      </c>
      <c r="L267" s="6">
        <v>17</v>
      </c>
      <c r="M267" s="6">
        <v>16</v>
      </c>
      <c r="N267" s="6">
        <v>24</v>
      </c>
      <c r="O267" s="6">
        <v>22</v>
      </c>
      <c r="P267" s="6">
        <v>3</v>
      </c>
      <c r="Q267" s="6">
        <v>2</v>
      </c>
      <c r="R267" s="6">
        <v>3</v>
      </c>
      <c r="S267" s="6">
        <v>12</v>
      </c>
      <c r="T267" s="6">
        <v>11</v>
      </c>
      <c r="U267" s="6">
        <v>1</v>
      </c>
      <c r="V267" s="6">
        <v>1</v>
      </c>
      <c r="W267" s="6">
        <v>6</v>
      </c>
      <c r="X267" s="6">
        <v>9</v>
      </c>
      <c r="Y267" s="6">
        <v>44</v>
      </c>
      <c r="Z267" s="6">
        <v>15</v>
      </c>
      <c r="AA267" s="6">
        <v>8</v>
      </c>
      <c r="AB267" s="6">
        <v>6</v>
      </c>
      <c r="AC267" s="6">
        <v>32</v>
      </c>
      <c r="AD267" s="6">
        <v>35</v>
      </c>
      <c r="AE267" s="6">
        <v>2</v>
      </c>
      <c r="AF267" s="5"/>
      <c r="AG267" s="6">
        <v>59</v>
      </c>
      <c r="AH267" s="5"/>
      <c r="AI267" s="6">
        <v>4</v>
      </c>
      <c r="AJ267" s="6">
        <v>6</v>
      </c>
      <c r="AK267" s="6">
        <v>2</v>
      </c>
      <c r="AL267" s="6">
        <v>415</v>
      </c>
    </row>
    <row r="268" spans="1:38" ht="11.1" customHeight="1" x14ac:dyDescent="0.2">
      <c r="A268" s="4" t="s">
        <v>567</v>
      </c>
      <c r="B268" s="4" t="s">
        <v>568</v>
      </c>
      <c r="C268" s="4" t="s">
        <v>1445</v>
      </c>
      <c r="D268" s="4">
        <v>5</v>
      </c>
      <c r="E268" s="5"/>
      <c r="F268" s="6">
        <v>1</v>
      </c>
      <c r="G268" s="6">
        <v>6</v>
      </c>
      <c r="H268" s="5"/>
      <c r="I268" s="6">
        <v>5</v>
      </c>
      <c r="J268" s="6">
        <v>7</v>
      </c>
      <c r="K268" s="6">
        <v>2</v>
      </c>
      <c r="L268" s="6">
        <v>9</v>
      </c>
      <c r="M268" s="6">
        <v>13</v>
      </c>
      <c r="N268" s="6">
        <v>14</v>
      </c>
      <c r="O268" s="6">
        <v>5</v>
      </c>
      <c r="P268" s="5"/>
      <c r="Q268" s="5"/>
      <c r="R268" s="5"/>
      <c r="S268" s="6">
        <v>11</v>
      </c>
      <c r="T268" s="6">
        <v>1</v>
      </c>
      <c r="U268" s="5"/>
      <c r="V268" s="6">
        <v>1</v>
      </c>
      <c r="W268" s="5"/>
      <c r="X268" s="5"/>
      <c r="Y268" s="6">
        <v>1</v>
      </c>
      <c r="Z268" s="6">
        <v>1</v>
      </c>
      <c r="AA268" s="5"/>
      <c r="AB268" s="6">
        <v>5</v>
      </c>
      <c r="AC268" s="6">
        <v>1</v>
      </c>
      <c r="AD268" s="5"/>
      <c r="AE268" s="5"/>
      <c r="AF268" s="5"/>
      <c r="AG268" s="5"/>
      <c r="AH268" s="5"/>
      <c r="AI268" s="6">
        <v>4</v>
      </c>
      <c r="AJ268" s="6">
        <v>1</v>
      </c>
      <c r="AK268" s="6">
        <v>8</v>
      </c>
      <c r="AL268" s="6">
        <v>96</v>
      </c>
    </row>
    <row r="269" spans="1:38" ht="11.1" customHeight="1" x14ac:dyDescent="0.2">
      <c r="A269" s="4" t="s">
        <v>569</v>
      </c>
      <c r="B269" s="4" t="s">
        <v>570</v>
      </c>
      <c r="C269" s="4" t="s">
        <v>1446</v>
      </c>
      <c r="D269" s="4">
        <v>5</v>
      </c>
      <c r="E269" s="5"/>
      <c r="F269" s="5"/>
      <c r="G269" s="6">
        <v>4</v>
      </c>
      <c r="H269" s="6">
        <v>1</v>
      </c>
      <c r="I269" s="6">
        <v>8</v>
      </c>
      <c r="J269" s="5"/>
      <c r="K269" s="6">
        <v>18</v>
      </c>
      <c r="L269" s="6">
        <v>24</v>
      </c>
      <c r="M269" s="6">
        <v>24</v>
      </c>
      <c r="N269" s="6">
        <v>30</v>
      </c>
      <c r="O269" s="6">
        <v>10</v>
      </c>
      <c r="P269" s="6">
        <v>5</v>
      </c>
      <c r="Q269" s="6">
        <v>6</v>
      </c>
      <c r="R269" s="5"/>
      <c r="S269" s="5"/>
      <c r="T269" s="5"/>
      <c r="U269" s="5"/>
      <c r="V269" s="5"/>
      <c r="W269" s="6">
        <v>4</v>
      </c>
      <c r="X269" s="5"/>
      <c r="Y269" s="5"/>
      <c r="Z269" s="6">
        <v>15</v>
      </c>
      <c r="AA269" s="6">
        <v>18</v>
      </c>
      <c r="AB269" s="6">
        <v>1</v>
      </c>
      <c r="AC269" s="5"/>
      <c r="AD269" s="5"/>
      <c r="AE269" s="6">
        <v>5</v>
      </c>
      <c r="AF269" s="5"/>
      <c r="AG269" s="5"/>
      <c r="AH269" s="5"/>
      <c r="AI269" s="6">
        <v>1</v>
      </c>
      <c r="AJ269" s="5"/>
      <c r="AK269" s="6">
        <v>2</v>
      </c>
      <c r="AL269" s="6">
        <v>176</v>
      </c>
    </row>
    <row r="270" spans="1:38" ht="11.1" customHeight="1" x14ac:dyDescent="0.2">
      <c r="A270" s="4" t="s">
        <v>571</v>
      </c>
      <c r="B270" s="4" t="s">
        <v>572</v>
      </c>
      <c r="C270" s="4" t="s">
        <v>1447</v>
      </c>
      <c r="D270" s="4">
        <v>10</v>
      </c>
      <c r="E270" s="6">
        <v>721</v>
      </c>
      <c r="F270" s="6">
        <v>189</v>
      </c>
      <c r="G270" s="6">
        <v>759</v>
      </c>
      <c r="H270" s="7">
        <v>1372</v>
      </c>
      <c r="I270" s="7">
        <v>1743</v>
      </c>
      <c r="J270" s="7">
        <v>1460</v>
      </c>
      <c r="K270" s="6">
        <v>798</v>
      </c>
      <c r="L270" s="7">
        <v>1545</v>
      </c>
      <c r="M270" s="7">
        <v>1303</v>
      </c>
      <c r="N270" s="7">
        <v>1275</v>
      </c>
      <c r="O270" s="6">
        <v>960</v>
      </c>
      <c r="P270" s="7">
        <v>1259</v>
      </c>
      <c r="Q270" s="6">
        <v>714</v>
      </c>
      <c r="R270" s="6">
        <v>744</v>
      </c>
      <c r="S270" s="6">
        <v>820</v>
      </c>
      <c r="T270" s="7">
        <v>1313</v>
      </c>
      <c r="U270" s="6">
        <v>629</v>
      </c>
      <c r="V270" s="6">
        <v>499</v>
      </c>
      <c r="W270" s="6">
        <v>932</v>
      </c>
      <c r="X270" s="6">
        <v>619</v>
      </c>
      <c r="Y270" s="6">
        <v>618</v>
      </c>
      <c r="Z270" s="6">
        <v>748</v>
      </c>
      <c r="AA270" s="6">
        <v>611</v>
      </c>
      <c r="AB270" s="6">
        <v>794</v>
      </c>
      <c r="AC270" s="6">
        <v>157</v>
      </c>
      <c r="AD270" s="6">
        <v>474</v>
      </c>
      <c r="AE270" s="6">
        <v>239</v>
      </c>
      <c r="AF270" s="6">
        <v>998</v>
      </c>
      <c r="AG270" s="6">
        <v>486</v>
      </c>
      <c r="AH270" s="6">
        <v>485</v>
      </c>
      <c r="AI270" s="6">
        <v>505</v>
      </c>
      <c r="AJ270" s="7">
        <v>1066</v>
      </c>
      <c r="AK270" s="6">
        <v>249</v>
      </c>
      <c r="AL270" s="7">
        <v>27084</v>
      </c>
    </row>
    <row r="271" spans="1:38" ht="11.1" customHeight="1" x14ac:dyDescent="0.2">
      <c r="A271" s="4" t="s">
        <v>573</v>
      </c>
      <c r="B271" s="4" t="s">
        <v>574</v>
      </c>
      <c r="C271" s="4" t="s">
        <v>1448</v>
      </c>
      <c r="D271" s="4">
        <v>10</v>
      </c>
      <c r="E271" s="5"/>
      <c r="F271" s="6">
        <v>30</v>
      </c>
      <c r="G271" s="6">
        <v>17</v>
      </c>
      <c r="H271" s="6">
        <v>4</v>
      </c>
      <c r="I271" s="5"/>
      <c r="J271" s="5"/>
      <c r="K271" s="6">
        <v>30</v>
      </c>
      <c r="L271" s="6">
        <v>53</v>
      </c>
      <c r="M271" s="6">
        <v>7</v>
      </c>
      <c r="N271" s="6">
        <v>75</v>
      </c>
      <c r="O271" s="6">
        <v>4</v>
      </c>
      <c r="P271" s="6">
        <v>68</v>
      </c>
      <c r="Q271" s="5"/>
      <c r="R271" s="6">
        <v>16</v>
      </c>
      <c r="S271" s="6">
        <v>4</v>
      </c>
      <c r="T271" s="6">
        <v>5</v>
      </c>
      <c r="U271" s="6">
        <v>6</v>
      </c>
      <c r="V271" s="5"/>
      <c r="W271" s="6">
        <v>35</v>
      </c>
      <c r="X271" s="5"/>
      <c r="Y271" s="6">
        <v>13</v>
      </c>
      <c r="Z271" s="6">
        <v>46</v>
      </c>
      <c r="AA271" s="6">
        <v>46</v>
      </c>
      <c r="AB271" s="6">
        <v>38</v>
      </c>
      <c r="AC271" s="6">
        <v>1</v>
      </c>
      <c r="AD271" s="5"/>
      <c r="AE271" s="6">
        <v>17</v>
      </c>
      <c r="AF271" s="6">
        <v>38</v>
      </c>
      <c r="AG271" s="6">
        <v>4</v>
      </c>
      <c r="AH271" s="5"/>
      <c r="AI271" s="5"/>
      <c r="AJ271" s="6">
        <v>67</v>
      </c>
      <c r="AK271" s="6">
        <v>16</v>
      </c>
      <c r="AL271" s="6">
        <v>640</v>
      </c>
    </row>
    <row r="272" spans="1:38" ht="11.1" customHeight="1" x14ac:dyDescent="0.2">
      <c r="A272" s="4" t="s">
        <v>575</v>
      </c>
      <c r="B272" s="4" t="s">
        <v>576</v>
      </c>
      <c r="C272" s="4" t="s">
        <v>1449</v>
      </c>
      <c r="D272" s="4">
        <v>10</v>
      </c>
      <c r="E272" s="5"/>
      <c r="F272" s="5"/>
      <c r="G272" s="5"/>
      <c r="H272" s="5"/>
      <c r="I272" s="6">
        <v>47</v>
      </c>
      <c r="J272" s="6">
        <v>249</v>
      </c>
      <c r="K272" s="6">
        <v>133</v>
      </c>
      <c r="L272" s="6">
        <v>225</v>
      </c>
      <c r="M272" s="6">
        <v>99</v>
      </c>
      <c r="N272" s="6">
        <v>78</v>
      </c>
      <c r="O272" s="6">
        <v>142</v>
      </c>
      <c r="P272" s="6">
        <v>69</v>
      </c>
      <c r="Q272" s="6">
        <v>60</v>
      </c>
      <c r="R272" s="6">
        <v>101</v>
      </c>
      <c r="S272" s="6">
        <v>2</v>
      </c>
      <c r="T272" s="6">
        <v>120</v>
      </c>
      <c r="U272" s="6">
        <v>111</v>
      </c>
      <c r="V272" s="6">
        <v>98</v>
      </c>
      <c r="W272" s="6">
        <v>161</v>
      </c>
      <c r="X272" s="6">
        <v>62</v>
      </c>
      <c r="Y272" s="6">
        <v>46</v>
      </c>
      <c r="Z272" s="6">
        <v>5</v>
      </c>
      <c r="AA272" s="6">
        <v>-15</v>
      </c>
      <c r="AB272" s="5"/>
      <c r="AC272" s="6">
        <v>7</v>
      </c>
      <c r="AD272" s="5"/>
      <c r="AE272" s="5"/>
      <c r="AF272" s="6">
        <v>100</v>
      </c>
      <c r="AG272" s="6">
        <v>1</v>
      </c>
      <c r="AH272" s="6">
        <v>13</v>
      </c>
      <c r="AI272" s="6">
        <v>4</v>
      </c>
      <c r="AJ272" s="6">
        <v>4</v>
      </c>
      <c r="AK272" s="6">
        <v>66</v>
      </c>
      <c r="AL272" s="7">
        <v>1988</v>
      </c>
    </row>
    <row r="273" spans="1:38" ht="11.1" customHeight="1" x14ac:dyDescent="0.2">
      <c r="A273" s="4" t="s">
        <v>577</v>
      </c>
      <c r="B273" s="4" t="s">
        <v>578</v>
      </c>
      <c r="C273" s="4" t="s">
        <v>1450</v>
      </c>
      <c r="D273" s="4">
        <v>10</v>
      </c>
      <c r="E273" s="6">
        <v>21</v>
      </c>
      <c r="F273" s="6">
        <v>66</v>
      </c>
      <c r="G273" s="6">
        <v>151</v>
      </c>
      <c r="H273" s="6">
        <v>113</v>
      </c>
      <c r="I273" s="6">
        <v>168</v>
      </c>
      <c r="J273" s="6">
        <v>189</v>
      </c>
      <c r="K273" s="6">
        <v>87</v>
      </c>
      <c r="L273" s="6">
        <v>264</v>
      </c>
      <c r="M273" s="6">
        <v>166</v>
      </c>
      <c r="N273" s="6">
        <v>224</v>
      </c>
      <c r="O273" s="6">
        <v>55</v>
      </c>
      <c r="P273" s="6">
        <v>120</v>
      </c>
      <c r="Q273" s="6">
        <v>34</v>
      </c>
      <c r="R273" s="6">
        <v>78</v>
      </c>
      <c r="S273" s="6">
        <v>78</v>
      </c>
      <c r="T273" s="6">
        <v>94</v>
      </c>
      <c r="U273" s="6">
        <v>36</v>
      </c>
      <c r="V273" s="6">
        <v>57</v>
      </c>
      <c r="W273" s="6">
        <v>109</v>
      </c>
      <c r="X273" s="6">
        <v>65</v>
      </c>
      <c r="Y273" s="6">
        <v>44</v>
      </c>
      <c r="Z273" s="6">
        <v>88</v>
      </c>
      <c r="AA273" s="6">
        <v>30</v>
      </c>
      <c r="AB273" s="6">
        <v>57</v>
      </c>
      <c r="AC273" s="6">
        <v>9</v>
      </c>
      <c r="AD273" s="6">
        <v>38</v>
      </c>
      <c r="AE273" s="6">
        <v>27</v>
      </c>
      <c r="AF273" s="6">
        <v>90</v>
      </c>
      <c r="AG273" s="6">
        <v>50</v>
      </c>
      <c r="AH273" s="6">
        <v>129</v>
      </c>
      <c r="AI273" s="6">
        <v>37</v>
      </c>
      <c r="AJ273" s="6">
        <v>72</v>
      </c>
      <c r="AK273" s="6">
        <v>56</v>
      </c>
      <c r="AL273" s="7">
        <v>2902</v>
      </c>
    </row>
    <row r="274" spans="1:38" ht="11.1" customHeight="1" x14ac:dyDescent="0.2">
      <c r="A274" s="4" t="s">
        <v>579</v>
      </c>
      <c r="B274" s="4" t="s">
        <v>580</v>
      </c>
      <c r="C274" s="4" t="s">
        <v>1451</v>
      </c>
      <c r="D274" s="4">
        <v>10</v>
      </c>
      <c r="E274" s="6">
        <v>16</v>
      </c>
      <c r="F274" s="5"/>
      <c r="G274" s="6">
        <v>3</v>
      </c>
      <c r="H274" s="6">
        <v>3</v>
      </c>
      <c r="I274" s="5"/>
      <c r="J274" s="5"/>
      <c r="K274" s="6">
        <v>2</v>
      </c>
      <c r="L274" s="6">
        <v>11</v>
      </c>
      <c r="M274" s="6">
        <v>17</v>
      </c>
      <c r="N274" s="6">
        <v>34</v>
      </c>
      <c r="O274" s="6">
        <v>5</v>
      </c>
      <c r="P274" s="5"/>
      <c r="Q274" s="5"/>
      <c r="R274" s="6">
        <v>8</v>
      </c>
      <c r="S274" s="6">
        <v>1</v>
      </c>
      <c r="T274" s="6">
        <v>9</v>
      </c>
      <c r="U274" s="6">
        <v>3</v>
      </c>
      <c r="V274" s="6">
        <v>2</v>
      </c>
      <c r="W274" s="6">
        <v>4</v>
      </c>
      <c r="X274" s="6">
        <v>11</v>
      </c>
      <c r="Y274" s="6">
        <v>-4</v>
      </c>
      <c r="Z274" s="5"/>
      <c r="AA274" s="6">
        <v>8</v>
      </c>
      <c r="AB274" s="5"/>
      <c r="AC274" s="5"/>
      <c r="AD274" s="5"/>
      <c r="AE274" s="6">
        <v>11</v>
      </c>
      <c r="AF274" s="6">
        <v>1</v>
      </c>
      <c r="AG274" s="5"/>
      <c r="AH274" s="6">
        <v>13</v>
      </c>
      <c r="AI274" s="6">
        <v>11</v>
      </c>
      <c r="AJ274" s="5"/>
      <c r="AK274" s="6">
        <v>5</v>
      </c>
      <c r="AL274" s="6">
        <v>174</v>
      </c>
    </row>
    <row r="275" spans="1:38" ht="11.1" customHeight="1" x14ac:dyDescent="0.2">
      <c r="A275" s="4" t="s">
        <v>581</v>
      </c>
      <c r="B275" s="4" t="s">
        <v>582</v>
      </c>
      <c r="C275" s="4" t="s">
        <v>1452</v>
      </c>
      <c r="D275" s="4">
        <v>10</v>
      </c>
      <c r="E275" s="6">
        <v>7</v>
      </c>
      <c r="F275" s="6">
        <v>53</v>
      </c>
      <c r="G275" s="6">
        <v>91</v>
      </c>
      <c r="H275" s="6">
        <v>97</v>
      </c>
      <c r="I275" s="6">
        <v>116</v>
      </c>
      <c r="J275" s="6">
        <v>118</v>
      </c>
      <c r="K275" s="6">
        <v>27</v>
      </c>
      <c r="L275" s="6">
        <v>46</v>
      </c>
      <c r="M275" s="6">
        <v>43</v>
      </c>
      <c r="N275" s="6">
        <v>15</v>
      </c>
      <c r="O275" s="6">
        <v>25</v>
      </c>
      <c r="P275" s="6">
        <v>18</v>
      </c>
      <c r="Q275" s="6">
        <v>11</v>
      </c>
      <c r="R275" s="6">
        <v>29</v>
      </c>
      <c r="S275" s="6">
        <v>36</v>
      </c>
      <c r="T275" s="6">
        <v>7</v>
      </c>
      <c r="U275" s="5"/>
      <c r="V275" s="6">
        <v>25</v>
      </c>
      <c r="W275" s="6">
        <v>60</v>
      </c>
      <c r="X275" s="6">
        <v>35</v>
      </c>
      <c r="Y275" s="6">
        <v>16</v>
      </c>
      <c r="Z275" s="6">
        <v>27</v>
      </c>
      <c r="AA275" s="6">
        <v>11</v>
      </c>
      <c r="AB275" s="6">
        <v>30</v>
      </c>
      <c r="AC275" s="6">
        <v>7</v>
      </c>
      <c r="AD275" s="6">
        <v>18</v>
      </c>
      <c r="AE275" s="6">
        <v>6</v>
      </c>
      <c r="AF275" s="6">
        <v>21</v>
      </c>
      <c r="AG275" s="6">
        <v>13</v>
      </c>
      <c r="AH275" s="6">
        <v>38</v>
      </c>
      <c r="AI275" s="6">
        <v>22</v>
      </c>
      <c r="AJ275" s="6">
        <v>26</v>
      </c>
      <c r="AK275" s="6">
        <v>19</v>
      </c>
      <c r="AL275" s="7">
        <v>1113</v>
      </c>
    </row>
    <row r="276" spans="1:38" ht="11.1" customHeight="1" x14ac:dyDescent="0.2">
      <c r="A276" s="4" t="s">
        <v>583</v>
      </c>
      <c r="B276" s="4" t="s">
        <v>584</v>
      </c>
      <c r="C276" s="4" t="s">
        <v>1453</v>
      </c>
      <c r="D276" s="4">
        <v>10</v>
      </c>
      <c r="E276" s="5"/>
      <c r="F276" s="5"/>
      <c r="G276" s="5"/>
      <c r="H276" s="5"/>
      <c r="I276" s="6">
        <v>103</v>
      </c>
      <c r="J276" s="6">
        <v>195</v>
      </c>
      <c r="K276" s="6">
        <v>173</v>
      </c>
      <c r="L276" s="6">
        <v>163</v>
      </c>
      <c r="M276" s="6">
        <v>332</v>
      </c>
      <c r="N276" s="6">
        <v>144</v>
      </c>
      <c r="O276" s="6">
        <v>107</v>
      </c>
      <c r="P276" s="6">
        <v>191</v>
      </c>
      <c r="Q276" s="6">
        <v>104</v>
      </c>
      <c r="R276" s="6">
        <v>90</v>
      </c>
      <c r="S276" s="6">
        <v>98</v>
      </c>
      <c r="T276" s="6">
        <v>253</v>
      </c>
      <c r="U276" s="6">
        <v>96</v>
      </c>
      <c r="V276" s="6">
        <v>68</v>
      </c>
      <c r="W276" s="6">
        <v>134</v>
      </c>
      <c r="X276" s="6">
        <v>61</v>
      </c>
      <c r="Y276" s="6">
        <v>70</v>
      </c>
      <c r="Z276" s="6">
        <v>70</v>
      </c>
      <c r="AA276" s="6">
        <v>110</v>
      </c>
      <c r="AB276" s="6">
        <v>98</v>
      </c>
      <c r="AC276" s="6">
        <v>17</v>
      </c>
      <c r="AD276" s="6">
        <v>46</v>
      </c>
      <c r="AE276" s="6">
        <v>65</v>
      </c>
      <c r="AF276" s="6">
        <v>174</v>
      </c>
      <c r="AG276" s="6">
        <v>82</v>
      </c>
      <c r="AH276" s="6">
        <v>42</v>
      </c>
      <c r="AI276" s="6">
        <v>31</v>
      </c>
      <c r="AJ276" s="6">
        <v>134</v>
      </c>
      <c r="AK276" s="6">
        <v>48</v>
      </c>
      <c r="AL276" s="7">
        <v>3299</v>
      </c>
    </row>
    <row r="277" spans="1:38" ht="11.1" customHeight="1" x14ac:dyDescent="0.2">
      <c r="A277" s="4" t="s">
        <v>585</v>
      </c>
      <c r="B277" s="4" t="s">
        <v>586</v>
      </c>
      <c r="C277" s="4" t="s">
        <v>1454</v>
      </c>
      <c r="D277" s="4">
        <v>10</v>
      </c>
      <c r="E277" s="6">
        <v>17</v>
      </c>
      <c r="F277" s="6">
        <v>3</v>
      </c>
      <c r="G277" s="6">
        <v>4</v>
      </c>
      <c r="H277" s="6">
        <v>1</v>
      </c>
      <c r="I277" s="5"/>
      <c r="J277" s="5"/>
      <c r="K277" s="5"/>
      <c r="L277" s="5"/>
      <c r="M277" s="6">
        <v>10</v>
      </c>
      <c r="N277" s="6">
        <v>15</v>
      </c>
      <c r="O277" s="6">
        <v>1</v>
      </c>
      <c r="P277" s="5"/>
      <c r="Q277" s="6">
        <v>6</v>
      </c>
      <c r="R277" s="5"/>
      <c r="S277" s="5"/>
      <c r="T277" s="6">
        <v>6</v>
      </c>
      <c r="U277" s="6">
        <v>9</v>
      </c>
      <c r="V277" s="6">
        <v>1</v>
      </c>
      <c r="W277" s="5"/>
      <c r="X277" s="6">
        <v>4</v>
      </c>
      <c r="Y277" s="6">
        <v>5</v>
      </c>
      <c r="Z277" s="5"/>
      <c r="AA277" s="6">
        <v>19</v>
      </c>
      <c r="AB277" s="6">
        <v>1</v>
      </c>
      <c r="AC277" s="6">
        <v>1</v>
      </c>
      <c r="AD277" s="5"/>
      <c r="AE277" s="6">
        <v>7</v>
      </c>
      <c r="AF277" s="5"/>
      <c r="AG277" s="5"/>
      <c r="AH277" s="6">
        <v>3</v>
      </c>
      <c r="AI277" s="6">
        <v>2</v>
      </c>
      <c r="AJ277" s="5"/>
      <c r="AK277" s="6">
        <v>19</v>
      </c>
      <c r="AL277" s="6">
        <v>134</v>
      </c>
    </row>
    <row r="278" spans="1:38" ht="11.1" customHeight="1" x14ac:dyDescent="0.2">
      <c r="A278" s="4" t="s">
        <v>587</v>
      </c>
      <c r="B278" s="4" t="s">
        <v>588</v>
      </c>
      <c r="C278" s="4" t="s">
        <v>1455</v>
      </c>
      <c r="D278" s="4">
        <v>10</v>
      </c>
      <c r="E278" s="5"/>
      <c r="F278" s="6">
        <v>11</v>
      </c>
      <c r="G278" s="6">
        <v>12</v>
      </c>
      <c r="H278" s="6">
        <v>2</v>
      </c>
      <c r="I278" s="6">
        <v>16</v>
      </c>
      <c r="J278" s="6">
        <v>20</v>
      </c>
      <c r="K278" s="6">
        <v>2</v>
      </c>
      <c r="L278" s="6">
        <v>19</v>
      </c>
      <c r="M278" s="6">
        <v>33</v>
      </c>
      <c r="N278" s="6">
        <v>22</v>
      </c>
      <c r="O278" s="6">
        <v>20</v>
      </c>
      <c r="P278" s="6">
        <v>19</v>
      </c>
      <c r="Q278" s="6">
        <v>9</v>
      </c>
      <c r="R278" s="6">
        <v>11</v>
      </c>
      <c r="S278" s="6">
        <v>15</v>
      </c>
      <c r="T278" s="6">
        <v>23</v>
      </c>
      <c r="U278" s="6">
        <v>6</v>
      </c>
      <c r="V278" s="6">
        <v>8</v>
      </c>
      <c r="W278" s="6">
        <v>10</v>
      </c>
      <c r="X278" s="6">
        <v>9</v>
      </c>
      <c r="Y278" s="6">
        <v>7</v>
      </c>
      <c r="Z278" s="6">
        <v>4</v>
      </c>
      <c r="AA278" s="6">
        <v>11</v>
      </c>
      <c r="AB278" s="6">
        <v>5</v>
      </c>
      <c r="AC278" s="6">
        <v>5</v>
      </c>
      <c r="AD278" s="6">
        <v>5</v>
      </c>
      <c r="AE278" s="6">
        <v>4</v>
      </c>
      <c r="AF278" s="6">
        <v>1</v>
      </c>
      <c r="AG278" s="6">
        <v>14</v>
      </c>
      <c r="AH278" s="6">
        <v>3</v>
      </c>
      <c r="AI278" s="6">
        <v>7</v>
      </c>
      <c r="AJ278" s="6">
        <v>22</v>
      </c>
      <c r="AK278" s="6">
        <v>11</v>
      </c>
      <c r="AL278" s="6">
        <v>366</v>
      </c>
    </row>
    <row r="279" spans="1:38" ht="11.1" customHeight="1" x14ac:dyDescent="0.2">
      <c r="A279" s="4" t="s">
        <v>589</v>
      </c>
      <c r="B279" s="4" t="s">
        <v>590</v>
      </c>
      <c r="C279" s="4" t="s">
        <v>1456</v>
      </c>
      <c r="D279" s="4">
        <v>5</v>
      </c>
      <c r="E279" s="6">
        <v>19</v>
      </c>
      <c r="F279" s="6">
        <v>23</v>
      </c>
      <c r="G279" s="6">
        <v>48</v>
      </c>
      <c r="H279" s="6">
        <v>30</v>
      </c>
      <c r="I279" s="6">
        <v>57</v>
      </c>
      <c r="J279" s="6">
        <v>87</v>
      </c>
      <c r="K279" s="6">
        <v>58</v>
      </c>
      <c r="L279" s="6">
        <v>97</v>
      </c>
      <c r="M279" s="6">
        <v>52</v>
      </c>
      <c r="N279" s="6">
        <v>35</v>
      </c>
      <c r="O279" s="6">
        <v>67</v>
      </c>
      <c r="P279" s="6">
        <v>83</v>
      </c>
      <c r="Q279" s="6">
        <v>23</v>
      </c>
      <c r="R279" s="6">
        <v>32</v>
      </c>
      <c r="S279" s="6">
        <v>42</v>
      </c>
      <c r="T279" s="6">
        <v>72</v>
      </c>
      <c r="U279" s="6">
        <v>45</v>
      </c>
      <c r="V279" s="6">
        <v>29</v>
      </c>
      <c r="W279" s="6">
        <v>36</v>
      </c>
      <c r="X279" s="6">
        <v>33</v>
      </c>
      <c r="Y279" s="6">
        <v>31</v>
      </c>
      <c r="Z279" s="6">
        <v>26</v>
      </c>
      <c r="AA279" s="6">
        <v>17</v>
      </c>
      <c r="AB279" s="6">
        <v>57</v>
      </c>
      <c r="AC279" s="6">
        <v>5</v>
      </c>
      <c r="AD279" s="6">
        <v>13</v>
      </c>
      <c r="AE279" s="6">
        <v>21</v>
      </c>
      <c r="AF279" s="6">
        <v>148</v>
      </c>
      <c r="AG279" s="6">
        <v>6</v>
      </c>
      <c r="AH279" s="6">
        <v>31</v>
      </c>
      <c r="AI279" s="6">
        <v>13</v>
      </c>
      <c r="AJ279" s="6">
        <v>35</v>
      </c>
      <c r="AK279" s="6">
        <v>7</v>
      </c>
      <c r="AL279" s="7">
        <v>1378</v>
      </c>
    </row>
    <row r="280" spans="1:38" ht="11.1" customHeight="1" x14ac:dyDescent="0.2">
      <c r="A280" s="4" t="s">
        <v>591</v>
      </c>
      <c r="B280" s="4" t="s">
        <v>592</v>
      </c>
      <c r="C280" s="4" t="s">
        <v>1457</v>
      </c>
      <c r="D280" s="4">
        <v>10</v>
      </c>
      <c r="E280" s="6">
        <v>18</v>
      </c>
      <c r="F280" s="6">
        <v>21</v>
      </c>
      <c r="G280" s="6">
        <v>23</v>
      </c>
      <c r="H280" s="6">
        <v>57</v>
      </c>
      <c r="I280" s="6">
        <v>65</v>
      </c>
      <c r="J280" s="6">
        <v>61</v>
      </c>
      <c r="K280" s="6">
        <v>23</v>
      </c>
      <c r="L280" s="6">
        <v>87</v>
      </c>
      <c r="M280" s="6">
        <v>34</v>
      </c>
      <c r="N280" s="6">
        <v>87</v>
      </c>
      <c r="O280" s="6">
        <v>58</v>
      </c>
      <c r="P280" s="6">
        <v>43</v>
      </c>
      <c r="Q280" s="6">
        <v>30</v>
      </c>
      <c r="R280" s="6">
        <v>60</v>
      </c>
      <c r="S280" s="6">
        <v>34</v>
      </c>
      <c r="T280" s="6">
        <v>320</v>
      </c>
      <c r="U280" s="6">
        <v>24</v>
      </c>
      <c r="V280" s="6">
        <v>36</v>
      </c>
      <c r="W280" s="6">
        <v>65</v>
      </c>
      <c r="X280" s="6">
        <v>40</v>
      </c>
      <c r="Y280" s="6">
        <v>32</v>
      </c>
      <c r="Z280" s="6">
        <v>67</v>
      </c>
      <c r="AA280" s="6">
        <v>13</v>
      </c>
      <c r="AB280" s="6">
        <v>38</v>
      </c>
      <c r="AC280" s="6">
        <v>3</v>
      </c>
      <c r="AD280" s="6">
        <v>13</v>
      </c>
      <c r="AE280" s="6">
        <v>22</v>
      </c>
      <c r="AF280" s="6">
        <v>67</v>
      </c>
      <c r="AG280" s="6">
        <v>27</v>
      </c>
      <c r="AH280" s="6">
        <v>9</v>
      </c>
      <c r="AI280" s="6">
        <v>30</v>
      </c>
      <c r="AJ280" s="6">
        <v>38</v>
      </c>
      <c r="AK280" s="6">
        <v>4</v>
      </c>
      <c r="AL280" s="7">
        <v>1549</v>
      </c>
    </row>
    <row r="281" spans="1:38" ht="11.1" customHeight="1" x14ac:dyDescent="0.2">
      <c r="A281" s="4" t="s">
        <v>593</v>
      </c>
      <c r="B281" s="4" t="s">
        <v>594</v>
      </c>
      <c r="C281" s="4" t="s">
        <v>1458</v>
      </c>
      <c r="D281" s="4">
        <v>10</v>
      </c>
      <c r="E281" s="5"/>
      <c r="F281" s="5"/>
      <c r="G281" s="5"/>
      <c r="H281" s="5"/>
      <c r="I281" s="5"/>
      <c r="J281" s="5"/>
      <c r="K281" s="5"/>
      <c r="L281" s="5"/>
      <c r="M281" s="6">
        <v>1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6">
        <v>1</v>
      </c>
      <c r="AB281" s="5"/>
      <c r="AC281" s="5"/>
      <c r="AD281" s="5"/>
      <c r="AE281" s="5"/>
      <c r="AF281" s="5"/>
      <c r="AG281" s="5"/>
      <c r="AH281" s="6">
        <v>2</v>
      </c>
      <c r="AI281" s="5"/>
      <c r="AJ281" s="6">
        <v>2</v>
      </c>
      <c r="AK281" s="6">
        <v>2</v>
      </c>
      <c r="AL281" s="6">
        <v>8</v>
      </c>
    </row>
    <row r="282" spans="1:38" ht="11.1" customHeight="1" x14ac:dyDescent="0.2">
      <c r="A282" s="4" t="s">
        <v>595</v>
      </c>
      <c r="B282" s="4" t="s">
        <v>596</v>
      </c>
      <c r="C282" s="4" t="s">
        <v>1459</v>
      </c>
      <c r="D282" s="4">
        <v>5</v>
      </c>
      <c r="E282" s="6">
        <v>3</v>
      </c>
      <c r="F282" s="6">
        <v>7</v>
      </c>
      <c r="G282" s="6">
        <v>8</v>
      </c>
      <c r="H282" s="6">
        <v>5</v>
      </c>
      <c r="I282" s="6">
        <v>12</v>
      </c>
      <c r="J282" s="6">
        <v>14</v>
      </c>
      <c r="K282" s="6">
        <v>8</v>
      </c>
      <c r="L282" s="6">
        <v>17</v>
      </c>
      <c r="M282" s="6">
        <v>12</v>
      </c>
      <c r="N282" s="6">
        <v>26</v>
      </c>
      <c r="O282" s="6">
        <v>14</v>
      </c>
      <c r="P282" s="6">
        <v>2</v>
      </c>
      <c r="Q282" s="6">
        <v>3</v>
      </c>
      <c r="R282" s="6">
        <v>6</v>
      </c>
      <c r="S282" s="6">
        <v>6</v>
      </c>
      <c r="T282" s="6">
        <v>15</v>
      </c>
      <c r="U282" s="6">
        <v>7</v>
      </c>
      <c r="V282" s="5"/>
      <c r="W282" s="6">
        <v>6</v>
      </c>
      <c r="X282" s="6">
        <v>6</v>
      </c>
      <c r="Y282" s="6">
        <v>12</v>
      </c>
      <c r="Z282" s="6">
        <v>19</v>
      </c>
      <c r="AA282" s="5"/>
      <c r="AB282" s="6">
        <v>5</v>
      </c>
      <c r="AC282" s="5"/>
      <c r="AD282" s="5"/>
      <c r="AE282" s="6">
        <v>1</v>
      </c>
      <c r="AF282" s="6">
        <v>8</v>
      </c>
      <c r="AG282" s="6">
        <v>7</v>
      </c>
      <c r="AH282" s="6">
        <v>3</v>
      </c>
      <c r="AI282" s="6">
        <v>9</v>
      </c>
      <c r="AJ282" s="6">
        <v>3</v>
      </c>
      <c r="AK282" s="6">
        <v>10</v>
      </c>
      <c r="AL282" s="6">
        <v>254</v>
      </c>
    </row>
    <row r="283" spans="1:38" ht="11.1" customHeight="1" x14ac:dyDescent="0.2">
      <c r="A283" s="4" t="s">
        <v>597</v>
      </c>
      <c r="B283" s="4" t="s">
        <v>598</v>
      </c>
      <c r="C283" s="4" t="s">
        <v>1460</v>
      </c>
      <c r="D283" s="4">
        <v>5</v>
      </c>
      <c r="E283" s="5"/>
      <c r="F283" s="5"/>
      <c r="G283" s="5"/>
      <c r="H283" s="5"/>
      <c r="I283" s="6">
        <v>5</v>
      </c>
      <c r="J283" s="6">
        <v>1</v>
      </c>
      <c r="K283" s="6">
        <v>2</v>
      </c>
      <c r="L283" s="6">
        <v>43</v>
      </c>
      <c r="M283" s="6">
        <v>8</v>
      </c>
      <c r="N283" s="6">
        <v>3</v>
      </c>
      <c r="O283" s="6">
        <v>4</v>
      </c>
      <c r="P283" s="6">
        <v>44</v>
      </c>
      <c r="Q283" s="6">
        <v>5</v>
      </c>
      <c r="R283" s="6">
        <v>4</v>
      </c>
      <c r="S283" s="6">
        <v>12</v>
      </c>
      <c r="T283" s="6">
        <v>17</v>
      </c>
      <c r="U283" s="6">
        <v>2</v>
      </c>
      <c r="V283" s="6">
        <v>2</v>
      </c>
      <c r="W283" s="6">
        <v>16</v>
      </c>
      <c r="X283" s="6">
        <v>10</v>
      </c>
      <c r="Y283" s="6">
        <v>10</v>
      </c>
      <c r="Z283" s="6">
        <v>1</v>
      </c>
      <c r="AA283" s="6">
        <v>1</v>
      </c>
      <c r="AB283" s="6">
        <v>5</v>
      </c>
      <c r="AC283" s="5"/>
      <c r="AD283" s="6">
        <v>6</v>
      </c>
      <c r="AE283" s="6">
        <v>2</v>
      </c>
      <c r="AF283" s="6">
        <v>12</v>
      </c>
      <c r="AG283" s="6">
        <v>8</v>
      </c>
      <c r="AH283" s="6">
        <v>3</v>
      </c>
      <c r="AI283" s="6">
        <v>2</v>
      </c>
      <c r="AJ283" s="6">
        <v>1</v>
      </c>
      <c r="AK283" s="6">
        <v>7</v>
      </c>
      <c r="AL283" s="6">
        <v>236</v>
      </c>
    </row>
    <row r="284" spans="1:38" ht="11.1" customHeight="1" x14ac:dyDescent="0.2">
      <c r="A284" s="4" t="s">
        <v>599</v>
      </c>
      <c r="B284" s="4" t="s">
        <v>600</v>
      </c>
      <c r="C284" s="4" t="s">
        <v>1461</v>
      </c>
      <c r="D284" s="4">
        <v>6</v>
      </c>
      <c r="E284" s="5"/>
      <c r="F284" s="6">
        <v>29</v>
      </c>
      <c r="G284" s="6">
        <v>19</v>
      </c>
      <c r="H284" s="6">
        <v>19</v>
      </c>
      <c r="I284" s="6">
        <v>3</v>
      </c>
      <c r="J284" s="6">
        <v>101</v>
      </c>
      <c r="K284" s="6">
        <v>87</v>
      </c>
      <c r="L284" s="6">
        <v>52</v>
      </c>
      <c r="M284" s="6">
        <v>49</v>
      </c>
      <c r="N284" s="6">
        <v>98</v>
      </c>
      <c r="O284" s="6">
        <v>56</v>
      </c>
      <c r="P284" s="6">
        <v>50</v>
      </c>
      <c r="Q284" s="6">
        <v>14</v>
      </c>
      <c r="R284" s="6">
        <v>52</v>
      </c>
      <c r="S284" s="6">
        <v>8</v>
      </c>
      <c r="T284" s="6">
        <v>12</v>
      </c>
      <c r="U284" s="6">
        <v>21</v>
      </c>
      <c r="V284" s="6">
        <v>77</v>
      </c>
      <c r="W284" s="6">
        <v>67</v>
      </c>
      <c r="X284" s="6">
        <v>69</v>
      </c>
      <c r="Y284" s="6">
        <v>8</v>
      </c>
      <c r="Z284" s="6">
        <v>26</v>
      </c>
      <c r="AA284" s="6">
        <v>10</v>
      </c>
      <c r="AB284" s="6">
        <v>3</v>
      </c>
      <c r="AC284" s="5"/>
      <c r="AD284" s="6">
        <v>7</v>
      </c>
      <c r="AE284" s="6">
        <v>4</v>
      </c>
      <c r="AF284" s="6">
        <v>33</v>
      </c>
      <c r="AG284" s="6">
        <v>34</v>
      </c>
      <c r="AH284" s="6">
        <v>12</v>
      </c>
      <c r="AI284" s="6">
        <v>21</v>
      </c>
      <c r="AJ284" s="6">
        <v>41</v>
      </c>
      <c r="AK284" s="6">
        <v>22</v>
      </c>
      <c r="AL284" s="7">
        <v>1104</v>
      </c>
    </row>
    <row r="285" spans="1:38" ht="11.1" customHeight="1" x14ac:dyDescent="0.2">
      <c r="A285" s="4" t="s">
        <v>601</v>
      </c>
      <c r="B285" s="4" t="s">
        <v>602</v>
      </c>
      <c r="C285" s="4" t="s">
        <v>1462</v>
      </c>
      <c r="D285" s="4">
        <v>6</v>
      </c>
      <c r="E285" s="6">
        <v>5</v>
      </c>
      <c r="F285" s="6">
        <v>25</v>
      </c>
      <c r="G285" s="6">
        <v>54</v>
      </c>
      <c r="H285" s="6">
        <v>33</v>
      </c>
      <c r="I285" s="6">
        <v>94</v>
      </c>
      <c r="J285" s="6">
        <v>30</v>
      </c>
      <c r="K285" s="6">
        <v>2</v>
      </c>
      <c r="L285" s="6">
        <v>66</v>
      </c>
      <c r="M285" s="6">
        <v>81</v>
      </c>
      <c r="N285" s="6">
        <v>103</v>
      </c>
      <c r="O285" s="6">
        <v>12</v>
      </c>
      <c r="P285" s="6">
        <v>82</v>
      </c>
      <c r="Q285" s="6">
        <v>28</v>
      </c>
      <c r="R285" s="6">
        <v>71</v>
      </c>
      <c r="S285" s="6">
        <v>55</v>
      </c>
      <c r="T285" s="6">
        <v>20</v>
      </c>
      <c r="U285" s="6">
        <v>119</v>
      </c>
      <c r="V285" s="6">
        <v>77</v>
      </c>
      <c r="W285" s="6">
        <v>67</v>
      </c>
      <c r="X285" s="6">
        <v>98</v>
      </c>
      <c r="Y285" s="6">
        <v>26</v>
      </c>
      <c r="Z285" s="6">
        <v>52</v>
      </c>
      <c r="AA285" s="6">
        <v>41</v>
      </c>
      <c r="AB285" s="6">
        <v>48</v>
      </c>
      <c r="AC285" s="6">
        <v>10</v>
      </c>
      <c r="AD285" s="6">
        <v>43</v>
      </c>
      <c r="AE285" s="6">
        <v>24</v>
      </c>
      <c r="AF285" s="6">
        <v>61</v>
      </c>
      <c r="AG285" s="6">
        <v>53</v>
      </c>
      <c r="AH285" s="6">
        <v>23</v>
      </c>
      <c r="AI285" s="6">
        <v>20</v>
      </c>
      <c r="AJ285" s="6">
        <v>92</v>
      </c>
      <c r="AK285" s="6">
        <v>33</v>
      </c>
      <c r="AL285" s="7">
        <v>1648</v>
      </c>
    </row>
    <row r="286" spans="1:38" ht="11.1" customHeight="1" x14ac:dyDescent="0.2">
      <c r="A286" s="4" t="s">
        <v>603</v>
      </c>
      <c r="B286" s="4" t="s">
        <v>604</v>
      </c>
      <c r="C286" s="4" t="s">
        <v>1463</v>
      </c>
      <c r="D286" s="4">
        <v>5</v>
      </c>
      <c r="E286" s="6">
        <v>3</v>
      </c>
      <c r="F286" s="6">
        <v>6</v>
      </c>
      <c r="G286" s="5"/>
      <c r="H286" s="6">
        <v>2</v>
      </c>
      <c r="I286" s="6">
        <v>3</v>
      </c>
      <c r="J286" s="6">
        <v>2</v>
      </c>
      <c r="K286" s="6">
        <v>5</v>
      </c>
      <c r="L286" s="6">
        <v>7</v>
      </c>
      <c r="M286" s="5"/>
      <c r="N286" s="6">
        <v>10</v>
      </c>
      <c r="O286" s="6">
        <v>3</v>
      </c>
      <c r="P286" s="6">
        <v>1</v>
      </c>
      <c r="Q286" s="6">
        <v>2</v>
      </c>
      <c r="R286" s="6">
        <v>3</v>
      </c>
      <c r="S286" s="6">
        <v>8</v>
      </c>
      <c r="T286" s="5"/>
      <c r="U286" s="5"/>
      <c r="V286" s="5"/>
      <c r="W286" s="6">
        <v>12</v>
      </c>
      <c r="X286" s="6">
        <v>3</v>
      </c>
      <c r="Y286" s="5"/>
      <c r="Z286" s="6">
        <v>1</v>
      </c>
      <c r="AA286" s="5"/>
      <c r="AB286" s="6">
        <v>16</v>
      </c>
      <c r="AC286" s="5"/>
      <c r="AD286" s="5"/>
      <c r="AE286" s="5"/>
      <c r="AF286" s="5"/>
      <c r="AG286" s="5"/>
      <c r="AH286" s="6">
        <v>2</v>
      </c>
      <c r="AI286" s="5"/>
      <c r="AJ286" s="6">
        <v>3</v>
      </c>
      <c r="AK286" s="5"/>
      <c r="AL286" s="6">
        <v>92</v>
      </c>
    </row>
    <row r="287" spans="1:38" ht="11.1" customHeight="1" x14ac:dyDescent="0.2">
      <c r="A287" s="4" t="s">
        <v>605</v>
      </c>
      <c r="B287" s="4" t="s">
        <v>606</v>
      </c>
      <c r="C287" s="4" t="s">
        <v>1464</v>
      </c>
      <c r="D287" s="4">
        <v>10</v>
      </c>
      <c r="E287" s="6">
        <v>14</v>
      </c>
      <c r="F287" s="6">
        <v>142</v>
      </c>
      <c r="G287" s="6">
        <v>9</v>
      </c>
      <c r="H287" s="6">
        <v>8</v>
      </c>
      <c r="I287" s="6">
        <v>86</v>
      </c>
      <c r="J287" s="6">
        <v>33</v>
      </c>
      <c r="K287" s="6">
        <v>4</v>
      </c>
      <c r="L287" s="6">
        <v>4</v>
      </c>
      <c r="M287" s="6">
        <v>41</v>
      </c>
      <c r="N287" s="5"/>
      <c r="O287" s="5"/>
      <c r="P287" s="5"/>
      <c r="Q287" s="6">
        <v>11</v>
      </c>
      <c r="R287" s="6">
        <v>2</v>
      </c>
      <c r="S287" s="6">
        <v>6</v>
      </c>
      <c r="T287" s="6">
        <v>3</v>
      </c>
      <c r="U287" s="6">
        <v>3</v>
      </c>
      <c r="V287" s="6">
        <v>4</v>
      </c>
      <c r="W287" s="6">
        <v>31</v>
      </c>
      <c r="X287" s="5"/>
      <c r="Y287" s="6">
        <v>3</v>
      </c>
      <c r="Z287" s="6">
        <v>10</v>
      </c>
      <c r="AA287" s="5"/>
      <c r="AB287" s="6">
        <v>4</v>
      </c>
      <c r="AC287" s="6">
        <v>2</v>
      </c>
      <c r="AD287" s="5"/>
      <c r="AE287" s="6">
        <v>3</v>
      </c>
      <c r="AF287" s="6">
        <v>24</v>
      </c>
      <c r="AG287" s="6">
        <v>31</v>
      </c>
      <c r="AH287" s="6">
        <v>32</v>
      </c>
      <c r="AI287" s="5"/>
      <c r="AJ287" s="6">
        <v>11</v>
      </c>
      <c r="AK287" s="6">
        <v>3</v>
      </c>
      <c r="AL287" s="6">
        <v>524</v>
      </c>
    </row>
    <row r="288" spans="1:38" ht="11.1" customHeight="1" x14ac:dyDescent="0.2">
      <c r="A288" s="4" t="s">
        <v>607</v>
      </c>
      <c r="B288" s="4" t="s">
        <v>608</v>
      </c>
      <c r="C288" s="4" t="s">
        <v>1465</v>
      </c>
      <c r="D288" s="4">
        <v>10</v>
      </c>
      <c r="E288" s="6">
        <v>1</v>
      </c>
      <c r="F288" s="6">
        <v>4</v>
      </c>
      <c r="G288" s="6">
        <v>5</v>
      </c>
      <c r="H288" s="6">
        <v>11</v>
      </c>
      <c r="I288" s="6">
        <v>19</v>
      </c>
      <c r="J288" s="6">
        <v>13</v>
      </c>
      <c r="K288" s="6">
        <v>11</v>
      </c>
      <c r="L288" s="6">
        <v>53</v>
      </c>
      <c r="M288" s="6">
        <v>16</v>
      </c>
      <c r="N288" s="6">
        <v>5</v>
      </c>
      <c r="O288" s="6">
        <v>13</v>
      </c>
      <c r="P288" s="6">
        <v>10</v>
      </c>
      <c r="Q288" s="6">
        <v>1</v>
      </c>
      <c r="R288" s="6">
        <v>9</v>
      </c>
      <c r="S288" s="6">
        <v>2</v>
      </c>
      <c r="T288" s="6">
        <v>27</v>
      </c>
      <c r="U288" s="5"/>
      <c r="V288" s="6">
        <v>6</v>
      </c>
      <c r="W288" s="6">
        <v>4</v>
      </c>
      <c r="X288" s="5"/>
      <c r="Y288" s="6">
        <v>1</v>
      </c>
      <c r="Z288" s="6">
        <v>9</v>
      </c>
      <c r="AA288" s="6">
        <v>1</v>
      </c>
      <c r="AB288" s="6">
        <v>3</v>
      </c>
      <c r="AC288" s="5"/>
      <c r="AD288" s="5"/>
      <c r="AE288" s="5"/>
      <c r="AF288" s="6">
        <v>2</v>
      </c>
      <c r="AG288" s="6">
        <v>1</v>
      </c>
      <c r="AH288" s="6">
        <v>3</v>
      </c>
      <c r="AI288" s="6">
        <v>6</v>
      </c>
      <c r="AJ288" s="6">
        <v>5</v>
      </c>
      <c r="AK288" s="6">
        <v>2</v>
      </c>
      <c r="AL288" s="6">
        <v>243</v>
      </c>
    </row>
    <row r="289" spans="1:38" ht="11.1" customHeight="1" x14ac:dyDescent="0.2">
      <c r="A289" s="4" t="s">
        <v>609</v>
      </c>
      <c r="B289" s="4" t="s">
        <v>610</v>
      </c>
      <c r="C289" s="4" t="s">
        <v>1466</v>
      </c>
      <c r="D289" s="4">
        <v>10</v>
      </c>
      <c r="E289" s="5"/>
      <c r="F289" s="5"/>
      <c r="G289" s="5"/>
      <c r="H289" s="5"/>
      <c r="I289" s="6">
        <v>5</v>
      </c>
      <c r="J289" s="5"/>
      <c r="K289" s="6">
        <v>1</v>
      </c>
      <c r="L289" s="5"/>
      <c r="M289" s="6">
        <v>2</v>
      </c>
      <c r="N289" s="5"/>
      <c r="O289" s="5"/>
      <c r="P289" s="5"/>
      <c r="Q289" s="5"/>
      <c r="R289" s="5"/>
      <c r="S289" s="5"/>
      <c r="T289" s="6">
        <v>8</v>
      </c>
      <c r="U289" s="5"/>
      <c r="V289" s="6">
        <v>6</v>
      </c>
      <c r="W289" s="5"/>
      <c r="X289" s="6">
        <v>1</v>
      </c>
      <c r="Y289" s="6">
        <v>2</v>
      </c>
      <c r="Z289" s="5"/>
      <c r="AA289" s="5"/>
      <c r="AB289" s="6">
        <v>6</v>
      </c>
      <c r="AC289" s="5"/>
      <c r="AD289" s="5"/>
      <c r="AE289" s="5"/>
      <c r="AF289" s="6">
        <v>2</v>
      </c>
      <c r="AG289" s="6">
        <v>1</v>
      </c>
      <c r="AH289" s="5"/>
      <c r="AI289" s="5"/>
      <c r="AJ289" s="5"/>
      <c r="AK289" s="5"/>
      <c r="AL289" s="6">
        <v>34</v>
      </c>
    </row>
    <row r="290" spans="1:38" ht="11.1" customHeight="1" x14ac:dyDescent="0.2">
      <c r="A290" s="4" t="s">
        <v>611</v>
      </c>
      <c r="B290" s="4" t="s">
        <v>612</v>
      </c>
      <c r="C290" s="4" t="s">
        <v>1467</v>
      </c>
      <c r="D290" s="4">
        <v>20</v>
      </c>
      <c r="E290" s="6">
        <v>104</v>
      </c>
      <c r="F290" s="6">
        <v>102</v>
      </c>
      <c r="G290" s="6">
        <v>212</v>
      </c>
      <c r="H290" s="6">
        <v>311</v>
      </c>
      <c r="I290" s="6">
        <v>531</v>
      </c>
      <c r="J290" s="7">
        <v>1050</v>
      </c>
      <c r="K290" s="6">
        <v>736</v>
      </c>
      <c r="L290" s="6">
        <v>728</v>
      </c>
      <c r="M290" s="6">
        <v>500</v>
      </c>
      <c r="N290" s="6">
        <v>707</v>
      </c>
      <c r="O290" s="6">
        <v>654</v>
      </c>
      <c r="P290" s="6">
        <v>603</v>
      </c>
      <c r="Q290" s="6">
        <v>279</v>
      </c>
      <c r="R290" s="6">
        <v>458</v>
      </c>
      <c r="S290" s="6">
        <v>483</v>
      </c>
      <c r="T290" s="6">
        <v>586</v>
      </c>
      <c r="U290" s="6">
        <v>494</v>
      </c>
      <c r="V290" s="6">
        <v>313</v>
      </c>
      <c r="W290" s="7">
        <v>1061</v>
      </c>
      <c r="X290" s="6">
        <v>377</v>
      </c>
      <c r="Y290" s="6">
        <v>411</v>
      </c>
      <c r="Z290" s="6">
        <v>297</v>
      </c>
      <c r="AA290" s="6">
        <v>216</v>
      </c>
      <c r="AB290" s="6">
        <v>475</v>
      </c>
      <c r="AC290" s="6">
        <v>163</v>
      </c>
      <c r="AD290" s="6">
        <v>162</v>
      </c>
      <c r="AE290" s="6">
        <v>181</v>
      </c>
      <c r="AF290" s="6">
        <v>399</v>
      </c>
      <c r="AG290" s="6">
        <v>269</v>
      </c>
      <c r="AH290" s="6">
        <v>459</v>
      </c>
      <c r="AI290" s="6">
        <v>299</v>
      </c>
      <c r="AJ290" s="6">
        <v>480</v>
      </c>
      <c r="AK290" s="6">
        <v>158</v>
      </c>
      <c r="AL290" s="7">
        <v>14258</v>
      </c>
    </row>
    <row r="291" spans="1:38" ht="11.1" customHeight="1" x14ac:dyDescent="0.2">
      <c r="A291" s="4" t="s">
        <v>613</v>
      </c>
      <c r="B291" s="4" t="s">
        <v>614</v>
      </c>
      <c r="C291" s="4" t="s">
        <v>1468</v>
      </c>
      <c r="D291" s="4">
        <v>10</v>
      </c>
      <c r="E291" s="6">
        <v>109</v>
      </c>
      <c r="F291" s="6">
        <v>96</v>
      </c>
      <c r="G291" s="6">
        <v>185</v>
      </c>
      <c r="H291" s="6">
        <v>196</v>
      </c>
      <c r="I291" s="6">
        <v>340</v>
      </c>
      <c r="J291" s="6">
        <v>394</v>
      </c>
      <c r="K291" s="6">
        <v>220</v>
      </c>
      <c r="L291" s="6">
        <v>429</v>
      </c>
      <c r="M291" s="6">
        <v>423</v>
      </c>
      <c r="N291" s="6">
        <v>288</v>
      </c>
      <c r="O291" s="6">
        <v>335</v>
      </c>
      <c r="P291" s="6">
        <v>469</v>
      </c>
      <c r="Q291" s="6">
        <v>137</v>
      </c>
      <c r="R291" s="6">
        <v>190</v>
      </c>
      <c r="S291" s="6">
        <v>212</v>
      </c>
      <c r="T291" s="6">
        <v>340</v>
      </c>
      <c r="U291" s="6">
        <v>207</v>
      </c>
      <c r="V291" s="6">
        <v>121</v>
      </c>
      <c r="W291" s="6">
        <v>217</v>
      </c>
      <c r="X291" s="6">
        <v>170</v>
      </c>
      <c r="Y291" s="6">
        <v>222</v>
      </c>
      <c r="Z291" s="6">
        <v>250</v>
      </c>
      <c r="AA291" s="6">
        <v>229</v>
      </c>
      <c r="AB291" s="6">
        <v>232</v>
      </c>
      <c r="AC291" s="6">
        <v>66</v>
      </c>
      <c r="AD291" s="6">
        <v>117</v>
      </c>
      <c r="AE291" s="6">
        <v>71</v>
      </c>
      <c r="AF291" s="6">
        <v>400</v>
      </c>
      <c r="AG291" s="6">
        <v>116</v>
      </c>
      <c r="AH291" s="6">
        <v>208</v>
      </c>
      <c r="AI291" s="6">
        <v>91</v>
      </c>
      <c r="AJ291" s="6">
        <v>311</v>
      </c>
      <c r="AK291" s="6">
        <v>87</v>
      </c>
      <c r="AL291" s="7">
        <v>7478</v>
      </c>
    </row>
    <row r="292" spans="1:38" ht="11.1" customHeight="1" x14ac:dyDescent="0.2">
      <c r="A292" s="4" t="s">
        <v>615</v>
      </c>
      <c r="B292" s="4" t="s">
        <v>616</v>
      </c>
      <c r="C292" s="4" t="s">
        <v>1469</v>
      </c>
      <c r="D292" s="4">
        <v>5</v>
      </c>
      <c r="E292" s="6">
        <v>48</v>
      </c>
      <c r="F292" s="6">
        <v>44</v>
      </c>
      <c r="G292" s="6">
        <v>70</v>
      </c>
      <c r="H292" s="6">
        <v>130</v>
      </c>
      <c r="I292" s="6">
        <v>116</v>
      </c>
      <c r="J292" s="6">
        <v>181</v>
      </c>
      <c r="K292" s="6">
        <v>125</v>
      </c>
      <c r="L292" s="6">
        <v>228</v>
      </c>
      <c r="M292" s="6">
        <v>190</v>
      </c>
      <c r="N292" s="6">
        <v>122</v>
      </c>
      <c r="O292" s="6">
        <v>121</v>
      </c>
      <c r="P292" s="6">
        <v>155</v>
      </c>
      <c r="Q292" s="6">
        <v>50</v>
      </c>
      <c r="R292" s="6">
        <v>95</v>
      </c>
      <c r="S292" s="6">
        <v>84</v>
      </c>
      <c r="T292" s="6">
        <v>165</v>
      </c>
      <c r="U292" s="6">
        <v>62</v>
      </c>
      <c r="V292" s="6">
        <v>83</v>
      </c>
      <c r="W292" s="6">
        <v>90</v>
      </c>
      <c r="X292" s="6">
        <v>65</v>
      </c>
      <c r="Y292" s="6">
        <v>99</v>
      </c>
      <c r="Z292" s="6">
        <v>76</v>
      </c>
      <c r="AA292" s="6">
        <v>87</v>
      </c>
      <c r="AB292" s="6">
        <v>111</v>
      </c>
      <c r="AC292" s="6">
        <v>22</v>
      </c>
      <c r="AD292" s="6">
        <v>41</v>
      </c>
      <c r="AE292" s="6">
        <v>25</v>
      </c>
      <c r="AF292" s="6">
        <v>121</v>
      </c>
      <c r="AG292" s="6">
        <v>48</v>
      </c>
      <c r="AH292" s="6">
        <v>46</v>
      </c>
      <c r="AI292" s="6">
        <v>56</v>
      </c>
      <c r="AJ292" s="6">
        <v>111</v>
      </c>
      <c r="AK292" s="6">
        <v>33</v>
      </c>
      <c r="AL292" s="7">
        <v>3100</v>
      </c>
    </row>
    <row r="293" spans="1:38" ht="11.1" customHeight="1" x14ac:dyDescent="0.2">
      <c r="A293" s="4" t="s">
        <v>617</v>
      </c>
      <c r="B293" s="4" t="s">
        <v>618</v>
      </c>
      <c r="C293" s="4" t="s">
        <v>1470</v>
      </c>
      <c r="D293" s="4">
        <v>5</v>
      </c>
      <c r="E293" s="6">
        <v>7</v>
      </c>
      <c r="F293" s="6">
        <v>11</v>
      </c>
      <c r="G293" s="6">
        <v>51</v>
      </c>
      <c r="H293" s="6">
        <v>55</v>
      </c>
      <c r="I293" s="6">
        <v>45</v>
      </c>
      <c r="J293" s="6">
        <v>55</v>
      </c>
      <c r="K293" s="6">
        <v>53</v>
      </c>
      <c r="L293" s="6">
        <v>85</v>
      </c>
      <c r="M293" s="6">
        <v>66</v>
      </c>
      <c r="N293" s="6">
        <v>31</v>
      </c>
      <c r="O293" s="6">
        <v>64</v>
      </c>
      <c r="P293" s="6">
        <v>53</v>
      </c>
      <c r="Q293" s="6">
        <v>23</v>
      </c>
      <c r="R293" s="6">
        <v>27</v>
      </c>
      <c r="S293" s="6">
        <v>38</v>
      </c>
      <c r="T293" s="6">
        <v>157</v>
      </c>
      <c r="U293" s="6">
        <v>-5</v>
      </c>
      <c r="V293" s="6">
        <v>32</v>
      </c>
      <c r="W293" s="6">
        <v>33</v>
      </c>
      <c r="X293" s="6">
        <v>13</v>
      </c>
      <c r="Y293" s="6">
        <v>54</v>
      </c>
      <c r="Z293" s="6">
        <v>29</v>
      </c>
      <c r="AA293" s="6">
        <v>21</v>
      </c>
      <c r="AB293" s="6">
        <v>30</v>
      </c>
      <c r="AC293" s="6">
        <v>2</v>
      </c>
      <c r="AD293" s="6">
        <v>19</v>
      </c>
      <c r="AE293" s="6">
        <v>7</v>
      </c>
      <c r="AF293" s="6">
        <v>26</v>
      </c>
      <c r="AG293" s="6">
        <v>24</v>
      </c>
      <c r="AH293" s="6">
        <v>24</v>
      </c>
      <c r="AI293" s="6">
        <v>16</v>
      </c>
      <c r="AJ293" s="6">
        <v>26</v>
      </c>
      <c r="AK293" s="6">
        <v>9</v>
      </c>
      <c r="AL293" s="7">
        <v>1181</v>
      </c>
    </row>
    <row r="294" spans="1:38" ht="11.1" customHeight="1" x14ac:dyDescent="0.2">
      <c r="A294" s="4" t="s">
        <v>619</v>
      </c>
      <c r="B294" s="4" t="s">
        <v>620</v>
      </c>
      <c r="C294" s="4" t="s">
        <v>1471</v>
      </c>
      <c r="D294" s="4">
        <v>5</v>
      </c>
      <c r="E294" s="5"/>
      <c r="F294" s="6">
        <v>4</v>
      </c>
      <c r="G294" s="6">
        <v>10</v>
      </c>
      <c r="H294" s="6">
        <v>14</v>
      </c>
      <c r="I294" s="6">
        <v>17</v>
      </c>
      <c r="J294" s="6">
        <v>20</v>
      </c>
      <c r="K294" s="6">
        <v>15</v>
      </c>
      <c r="L294" s="6">
        <v>28</v>
      </c>
      <c r="M294" s="6">
        <v>29</v>
      </c>
      <c r="N294" s="6">
        <v>22</v>
      </c>
      <c r="O294" s="6">
        <v>11</v>
      </c>
      <c r="P294" s="6">
        <v>85</v>
      </c>
      <c r="Q294" s="6">
        <v>2</v>
      </c>
      <c r="R294" s="5"/>
      <c r="S294" s="6">
        <v>7</v>
      </c>
      <c r="T294" s="6">
        <v>3</v>
      </c>
      <c r="U294" s="6">
        <v>28</v>
      </c>
      <c r="V294" s="6">
        <v>5</v>
      </c>
      <c r="W294" s="6">
        <v>7</v>
      </c>
      <c r="X294" s="6">
        <v>8</v>
      </c>
      <c r="Y294" s="6">
        <v>5</v>
      </c>
      <c r="Z294" s="6">
        <v>2</v>
      </c>
      <c r="AA294" s="6">
        <v>6</v>
      </c>
      <c r="AB294" s="6">
        <v>15</v>
      </c>
      <c r="AC294" s="5"/>
      <c r="AD294" s="6">
        <v>1</v>
      </c>
      <c r="AE294" s="5"/>
      <c r="AF294" s="5"/>
      <c r="AG294" s="6">
        <v>4</v>
      </c>
      <c r="AH294" s="6">
        <v>1</v>
      </c>
      <c r="AI294" s="6">
        <v>1</v>
      </c>
      <c r="AJ294" s="6">
        <v>10</v>
      </c>
      <c r="AK294" s="5"/>
      <c r="AL294" s="6">
        <v>360</v>
      </c>
    </row>
    <row r="295" spans="1:38" ht="11.1" customHeight="1" x14ac:dyDescent="0.2">
      <c r="A295" s="4" t="s">
        <v>621</v>
      </c>
      <c r="B295" s="4" t="s">
        <v>622</v>
      </c>
      <c r="C295" s="4" t="s">
        <v>1472</v>
      </c>
      <c r="D295" s="4">
        <v>10</v>
      </c>
      <c r="E295" s="6">
        <v>29</v>
      </c>
      <c r="F295" s="6">
        <v>29</v>
      </c>
      <c r="G295" s="6">
        <v>47</v>
      </c>
      <c r="H295" s="6">
        <v>19</v>
      </c>
      <c r="I295" s="6">
        <v>68</v>
      </c>
      <c r="J295" s="6">
        <v>56</v>
      </c>
      <c r="K295" s="6">
        <v>17</v>
      </c>
      <c r="L295" s="6">
        <v>119</v>
      </c>
      <c r="M295" s="6">
        <v>36</v>
      </c>
      <c r="N295" s="6">
        <v>31</v>
      </c>
      <c r="O295" s="6">
        <v>65</v>
      </c>
      <c r="P295" s="6">
        <v>39</v>
      </c>
      <c r="Q295" s="6">
        <v>40</v>
      </c>
      <c r="R295" s="6">
        <v>36</v>
      </c>
      <c r="S295" s="6">
        <v>51</v>
      </c>
      <c r="T295" s="6">
        <v>158</v>
      </c>
      <c r="U295" s="6">
        <v>38</v>
      </c>
      <c r="V295" s="6">
        <v>50</v>
      </c>
      <c r="W295" s="6">
        <v>32</v>
      </c>
      <c r="X295" s="6">
        <v>49</v>
      </c>
      <c r="Y295" s="6">
        <v>39</v>
      </c>
      <c r="Z295" s="6">
        <v>25</v>
      </c>
      <c r="AA295" s="6">
        <v>10</v>
      </c>
      <c r="AB295" s="6">
        <v>8</v>
      </c>
      <c r="AC295" s="6">
        <v>2</v>
      </c>
      <c r="AD295" s="6">
        <v>22</v>
      </c>
      <c r="AE295" s="6">
        <v>12</v>
      </c>
      <c r="AF295" s="6">
        <v>45</v>
      </c>
      <c r="AG295" s="6">
        <v>48</v>
      </c>
      <c r="AH295" s="6">
        <v>22</v>
      </c>
      <c r="AI295" s="6">
        <v>46</v>
      </c>
      <c r="AJ295" s="6">
        <v>53</v>
      </c>
      <c r="AK295" s="6">
        <v>9</v>
      </c>
      <c r="AL295" s="7">
        <v>1350</v>
      </c>
    </row>
    <row r="296" spans="1:38" ht="11.1" customHeight="1" x14ac:dyDescent="0.2">
      <c r="A296" s="4" t="s">
        <v>623</v>
      </c>
      <c r="B296" s="4" t="s">
        <v>624</v>
      </c>
      <c r="C296" s="4" t="s">
        <v>1473</v>
      </c>
      <c r="D296" s="4">
        <v>10</v>
      </c>
      <c r="E296" s="6">
        <v>139</v>
      </c>
      <c r="F296" s="6">
        <v>110</v>
      </c>
      <c r="G296" s="6">
        <v>208</v>
      </c>
      <c r="H296" s="6">
        <v>97</v>
      </c>
      <c r="I296" s="6">
        <v>485</v>
      </c>
      <c r="J296" s="6">
        <v>173</v>
      </c>
      <c r="K296" s="6">
        <v>146</v>
      </c>
      <c r="L296" s="6">
        <v>169</v>
      </c>
      <c r="M296" s="6">
        <v>136</v>
      </c>
      <c r="N296" s="6">
        <v>177</v>
      </c>
      <c r="O296" s="6">
        <v>263</v>
      </c>
      <c r="P296" s="6">
        <v>281</v>
      </c>
      <c r="Q296" s="6">
        <v>121</v>
      </c>
      <c r="R296" s="6">
        <v>163</v>
      </c>
      <c r="S296" s="6">
        <v>113</v>
      </c>
      <c r="T296" s="6">
        <v>8</v>
      </c>
      <c r="U296" s="6">
        <v>180</v>
      </c>
      <c r="V296" s="6">
        <v>285</v>
      </c>
      <c r="W296" s="6">
        <v>162</v>
      </c>
      <c r="X296" s="6">
        <v>87</v>
      </c>
      <c r="Y296" s="6">
        <v>180</v>
      </c>
      <c r="Z296" s="6">
        <v>95</v>
      </c>
      <c r="AA296" s="6">
        <v>110</v>
      </c>
      <c r="AB296" s="6">
        <v>80</v>
      </c>
      <c r="AC296" s="6">
        <v>68</v>
      </c>
      <c r="AD296" s="6">
        <v>227</v>
      </c>
      <c r="AE296" s="6">
        <v>52</v>
      </c>
      <c r="AF296" s="6">
        <v>27</v>
      </c>
      <c r="AG296" s="6">
        <v>13</v>
      </c>
      <c r="AH296" s="6">
        <v>20</v>
      </c>
      <c r="AI296" s="6">
        <v>87</v>
      </c>
      <c r="AJ296" s="6">
        <v>80</v>
      </c>
      <c r="AK296" s="6">
        <v>94</v>
      </c>
      <c r="AL296" s="7">
        <v>4636</v>
      </c>
    </row>
    <row r="297" spans="1:38" ht="11.1" customHeight="1" x14ac:dyDescent="0.2">
      <c r="A297" s="4" t="s">
        <v>625</v>
      </c>
      <c r="B297" s="4" t="s">
        <v>626</v>
      </c>
      <c r="C297" s="4" t="s">
        <v>1474</v>
      </c>
      <c r="D297" s="4">
        <v>10</v>
      </c>
      <c r="E297" s="5"/>
      <c r="F297" s="6">
        <v>8</v>
      </c>
      <c r="G297" s="6">
        <v>25</v>
      </c>
      <c r="H297" s="6">
        <v>32</v>
      </c>
      <c r="I297" s="6">
        <v>54</v>
      </c>
      <c r="J297" s="6">
        <v>25</v>
      </c>
      <c r="K297" s="6">
        <v>18</v>
      </c>
      <c r="L297" s="6">
        <v>23</v>
      </c>
      <c r="M297" s="6">
        <v>-11</v>
      </c>
      <c r="N297" s="6">
        <v>30</v>
      </c>
      <c r="O297" s="6">
        <v>26</v>
      </c>
      <c r="P297" s="6">
        <v>34</v>
      </c>
      <c r="Q297" s="6">
        <v>9</v>
      </c>
      <c r="R297" s="6">
        <v>6</v>
      </c>
      <c r="S297" s="6">
        <v>14</v>
      </c>
      <c r="T297" s="5"/>
      <c r="U297" s="6">
        <v>18</v>
      </c>
      <c r="V297" s="6">
        <v>15</v>
      </c>
      <c r="W297" s="6">
        <v>1</v>
      </c>
      <c r="X297" s="6">
        <v>2</v>
      </c>
      <c r="Y297" s="6">
        <v>4</v>
      </c>
      <c r="Z297" s="6">
        <v>17</v>
      </c>
      <c r="AA297" s="6">
        <v>14</v>
      </c>
      <c r="AB297" s="6">
        <v>9</v>
      </c>
      <c r="AC297" s="6">
        <v>12</v>
      </c>
      <c r="AD297" s="6">
        <v>21</v>
      </c>
      <c r="AE297" s="6">
        <v>11</v>
      </c>
      <c r="AF297" s="6">
        <v>4</v>
      </c>
      <c r="AG297" s="6">
        <v>27</v>
      </c>
      <c r="AH297" s="6">
        <v>6</v>
      </c>
      <c r="AI297" s="6">
        <v>3</v>
      </c>
      <c r="AJ297" s="6">
        <v>31</v>
      </c>
      <c r="AK297" s="6">
        <v>1</v>
      </c>
      <c r="AL297" s="6">
        <v>489</v>
      </c>
    </row>
    <row r="298" spans="1:38" ht="11.1" customHeight="1" x14ac:dyDescent="0.2">
      <c r="A298" s="4" t="s">
        <v>627</v>
      </c>
      <c r="B298" s="4" t="s">
        <v>628</v>
      </c>
      <c r="C298" s="4" t="s">
        <v>1475</v>
      </c>
      <c r="D298" s="4">
        <v>10</v>
      </c>
      <c r="E298" s="6">
        <v>1</v>
      </c>
      <c r="F298" s="5"/>
      <c r="G298" s="5"/>
      <c r="H298" s="5"/>
      <c r="I298" s="6">
        <v>10</v>
      </c>
      <c r="J298" s="6">
        <v>19</v>
      </c>
      <c r="K298" s="6">
        <v>9</v>
      </c>
      <c r="L298" s="6">
        <v>11</v>
      </c>
      <c r="M298" s="6">
        <v>61</v>
      </c>
      <c r="N298" s="6">
        <v>21</v>
      </c>
      <c r="O298" s="6">
        <v>71</v>
      </c>
      <c r="P298" s="6">
        <v>17</v>
      </c>
      <c r="Q298" s="6">
        <v>16</v>
      </c>
      <c r="R298" s="6">
        <v>33</v>
      </c>
      <c r="S298" s="6">
        <v>1</v>
      </c>
      <c r="T298" s="6">
        <v>2</v>
      </c>
      <c r="U298" s="6">
        <v>19</v>
      </c>
      <c r="V298" s="6">
        <v>4</v>
      </c>
      <c r="W298" s="6">
        <v>18</v>
      </c>
      <c r="X298" s="6">
        <v>17</v>
      </c>
      <c r="Y298" s="6">
        <v>45</v>
      </c>
      <c r="Z298" s="6">
        <v>-3</v>
      </c>
      <c r="AA298" s="6">
        <v>17</v>
      </c>
      <c r="AB298" s="6">
        <v>19</v>
      </c>
      <c r="AC298" s="6">
        <v>36</v>
      </c>
      <c r="AD298" s="6">
        <v>14</v>
      </c>
      <c r="AE298" s="6">
        <v>45</v>
      </c>
      <c r="AF298" s="6">
        <v>11</v>
      </c>
      <c r="AG298" s="5"/>
      <c r="AH298" s="6">
        <v>11</v>
      </c>
      <c r="AI298" s="6">
        <v>10</v>
      </c>
      <c r="AJ298" s="6">
        <v>18</v>
      </c>
      <c r="AK298" s="6">
        <v>22</v>
      </c>
      <c r="AL298" s="6">
        <v>575</v>
      </c>
    </row>
    <row r="299" spans="1:38" ht="11.1" customHeight="1" x14ac:dyDescent="0.2">
      <c r="A299" s="4" t="s">
        <v>629</v>
      </c>
      <c r="B299" s="4" t="s">
        <v>630</v>
      </c>
      <c r="C299" s="4" t="s">
        <v>1476</v>
      </c>
      <c r="D299" s="4">
        <v>10</v>
      </c>
      <c r="E299" s="6">
        <v>1</v>
      </c>
      <c r="F299" s="6">
        <v>4</v>
      </c>
      <c r="G299" s="6">
        <v>28</v>
      </c>
      <c r="H299" s="6">
        <v>2</v>
      </c>
      <c r="I299" s="6">
        <v>3</v>
      </c>
      <c r="J299" s="6">
        <v>2</v>
      </c>
      <c r="K299" s="6">
        <v>4</v>
      </c>
      <c r="L299" s="6">
        <v>3</v>
      </c>
      <c r="M299" s="6">
        <v>-4</v>
      </c>
      <c r="N299" s="6">
        <v>4</v>
      </c>
      <c r="O299" s="5"/>
      <c r="P299" s="6">
        <v>-20</v>
      </c>
      <c r="Q299" s="5"/>
      <c r="R299" s="5"/>
      <c r="S299" s="5"/>
      <c r="T299" s="6">
        <v>10</v>
      </c>
      <c r="U299" s="5"/>
      <c r="V299" s="5"/>
      <c r="W299" s="5"/>
      <c r="X299" s="6">
        <v>1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6">
        <v>38</v>
      </c>
    </row>
    <row r="300" spans="1:38" ht="11.1" customHeight="1" x14ac:dyDescent="0.2">
      <c r="A300" s="4" t="s">
        <v>631</v>
      </c>
      <c r="B300" s="4" t="s">
        <v>632</v>
      </c>
      <c r="C300" s="4" t="s">
        <v>1477</v>
      </c>
      <c r="D300" s="4">
        <v>10</v>
      </c>
      <c r="E300" s="6">
        <v>19</v>
      </c>
      <c r="F300" s="6">
        <v>35</v>
      </c>
      <c r="G300" s="6">
        <v>14</v>
      </c>
      <c r="H300" s="6">
        <v>5</v>
      </c>
      <c r="I300" s="6">
        <v>20</v>
      </c>
      <c r="J300" s="6">
        <v>6</v>
      </c>
      <c r="K300" s="6">
        <v>9</v>
      </c>
      <c r="L300" s="6">
        <v>3</v>
      </c>
      <c r="M300" s="6">
        <v>5</v>
      </c>
      <c r="N300" s="6">
        <v>27</v>
      </c>
      <c r="O300" s="6">
        <v>12</v>
      </c>
      <c r="P300" s="6">
        <v>2</v>
      </c>
      <c r="Q300" s="6">
        <v>7</v>
      </c>
      <c r="R300" s="5"/>
      <c r="S300" s="6">
        <v>6</v>
      </c>
      <c r="T300" s="6">
        <v>10</v>
      </c>
      <c r="U300" s="6">
        <v>3</v>
      </c>
      <c r="V300" s="6">
        <v>9</v>
      </c>
      <c r="W300" s="5"/>
      <c r="X300" s="5"/>
      <c r="Y300" s="6">
        <v>8</v>
      </c>
      <c r="Z300" s="6">
        <v>7</v>
      </c>
      <c r="AA300" s="6">
        <v>10</v>
      </c>
      <c r="AB300" s="6">
        <v>4</v>
      </c>
      <c r="AC300" s="5"/>
      <c r="AD300" s="5"/>
      <c r="AE300" s="6">
        <v>8</v>
      </c>
      <c r="AF300" s="6">
        <v>1</v>
      </c>
      <c r="AG300" s="6">
        <v>5</v>
      </c>
      <c r="AH300" s="5"/>
      <c r="AI300" s="6">
        <v>13</v>
      </c>
      <c r="AJ300" s="6">
        <v>3</v>
      </c>
      <c r="AK300" s="5"/>
      <c r="AL300" s="6">
        <v>251</v>
      </c>
    </row>
    <row r="301" spans="1:38" ht="11.1" customHeight="1" x14ac:dyDescent="0.2">
      <c r="A301" s="4" t="s">
        <v>633</v>
      </c>
      <c r="B301" s="4" t="s">
        <v>634</v>
      </c>
      <c r="C301" s="4" t="s">
        <v>1478</v>
      </c>
      <c r="D301" s="4">
        <v>10</v>
      </c>
      <c r="E301" s="6">
        <v>15</v>
      </c>
      <c r="F301" s="6">
        <v>2</v>
      </c>
      <c r="G301" s="6">
        <v>10</v>
      </c>
      <c r="H301" s="6">
        <v>2</v>
      </c>
      <c r="I301" s="6">
        <v>25</v>
      </c>
      <c r="J301" s="6">
        <v>9</v>
      </c>
      <c r="K301" s="6">
        <v>11</v>
      </c>
      <c r="L301" s="6">
        <v>22</v>
      </c>
      <c r="M301" s="6">
        <v>-3</v>
      </c>
      <c r="N301" s="6">
        <v>31</v>
      </c>
      <c r="O301" s="6">
        <v>17</v>
      </c>
      <c r="P301" s="6">
        <v>4</v>
      </c>
      <c r="Q301" s="6">
        <v>2</v>
      </c>
      <c r="R301" s="6">
        <v>9</v>
      </c>
      <c r="S301" s="6">
        <v>2</v>
      </c>
      <c r="T301" s="6">
        <v>1</v>
      </c>
      <c r="U301" s="6">
        <v>6</v>
      </c>
      <c r="V301" s="6">
        <v>8</v>
      </c>
      <c r="W301" s="6">
        <v>18</v>
      </c>
      <c r="X301" s="6">
        <v>17</v>
      </c>
      <c r="Y301" s="6">
        <v>27</v>
      </c>
      <c r="Z301" s="6">
        <v>2</v>
      </c>
      <c r="AA301" s="6">
        <v>2</v>
      </c>
      <c r="AB301" s="5"/>
      <c r="AC301" s="6">
        <v>13</v>
      </c>
      <c r="AD301" s="6">
        <v>23</v>
      </c>
      <c r="AE301" s="6">
        <v>4</v>
      </c>
      <c r="AF301" s="6">
        <v>11</v>
      </c>
      <c r="AG301" s="5"/>
      <c r="AH301" s="6">
        <v>4</v>
      </c>
      <c r="AI301" s="6">
        <v>10</v>
      </c>
      <c r="AJ301" s="6">
        <v>2</v>
      </c>
      <c r="AK301" s="6">
        <v>11</v>
      </c>
      <c r="AL301" s="6">
        <v>317</v>
      </c>
    </row>
    <row r="302" spans="1:38" ht="11.1" customHeight="1" x14ac:dyDescent="0.2">
      <c r="A302" s="4" t="s">
        <v>635</v>
      </c>
      <c r="B302" s="4" t="s">
        <v>636</v>
      </c>
      <c r="C302" s="4" t="s">
        <v>1479</v>
      </c>
      <c r="D302" s="4">
        <v>10</v>
      </c>
      <c r="E302" s="6">
        <v>11</v>
      </c>
      <c r="F302" s="5"/>
      <c r="G302" s="6">
        <v>2</v>
      </c>
      <c r="H302" s="5"/>
      <c r="I302" s="6">
        <v>10</v>
      </c>
      <c r="J302" s="6">
        <v>20</v>
      </c>
      <c r="K302" s="6">
        <v>6</v>
      </c>
      <c r="L302" s="6">
        <v>4</v>
      </c>
      <c r="M302" s="6">
        <v>-17</v>
      </c>
      <c r="N302" s="6">
        <v>4</v>
      </c>
      <c r="O302" s="5"/>
      <c r="P302" s="6">
        <v>-10</v>
      </c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6">
        <v>1</v>
      </c>
      <c r="AC302" s="5"/>
      <c r="AD302" s="5"/>
      <c r="AE302" s="5"/>
      <c r="AF302" s="5"/>
      <c r="AG302" s="5"/>
      <c r="AH302" s="5"/>
      <c r="AI302" s="5"/>
      <c r="AJ302" s="5"/>
      <c r="AK302" s="5"/>
      <c r="AL302" s="6">
        <v>31</v>
      </c>
    </row>
    <row r="303" spans="1:38" ht="11.1" customHeight="1" x14ac:dyDescent="0.2">
      <c r="A303" s="4" t="s">
        <v>637</v>
      </c>
      <c r="B303" s="4" t="s">
        <v>638</v>
      </c>
      <c r="C303" s="4" t="s">
        <v>1480</v>
      </c>
      <c r="D303" s="4">
        <v>10</v>
      </c>
      <c r="E303" s="5"/>
      <c r="F303" s="5"/>
      <c r="G303" s="6">
        <v>10</v>
      </c>
      <c r="H303" s="5"/>
      <c r="I303" s="6">
        <v>3</v>
      </c>
      <c r="J303" s="6">
        <v>2</v>
      </c>
      <c r="K303" s="6">
        <v>5</v>
      </c>
      <c r="L303" s="5"/>
      <c r="M303" s="6">
        <v>5</v>
      </c>
      <c r="N303" s="6">
        <v>5</v>
      </c>
      <c r="O303" s="6">
        <v>3</v>
      </c>
      <c r="P303" s="6">
        <v>-9</v>
      </c>
      <c r="Q303" s="5"/>
      <c r="R303" s="5"/>
      <c r="S303" s="5"/>
      <c r="T303" s="5"/>
      <c r="U303" s="6">
        <v>1</v>
      </c>
      <c r="V303" s="6">
        <v>1</v>
      </c>
      <c r="W303" s="5"/>
      <c r="X303" s="5"/>
      <c r="Y303" s="5"/>
      <c r="Z303" s="5"/>
      <c r="AA303" s="6">
        <v>4</v>
      </c>
      <c r="AB303" s="6">
        <v>4</v>
      </c>
      <c r="AC303" s="5"/>
      <c r="AD303" s="6">
        <v>1</v>
      </c>
      <c r="AE303" s="5"/>
      <c r="AF303" s="6">
        <v>3</v>
      </c>
      <c r="AG303" s="5"/>
      <c r="AH303" s="5"/>
      <c r="AI303" s="6">
        <v>2</v>
      </c>
      <c r="AJ303" s="5"/>
      <c r="AK303" s="5"/>
      <c r="AL303" s="6">
        <v>40</v>
      </c>
    </row>
    <row r="304" spans="1:38" ht="11.1" customHeight="1" x14ac:dyDescent="0.2">
      <c r="A304" s="4" t="s">
        <v>639</v>
      </c>
      <c r="B304" s="4" t="s">
        <v>640</v>
      </c>
      <c r="C304" s="4" t="s">
        <v>1481</v>
      </c>
      <c r="D304" s="4">
        <v>5</v>
      </c>
      <c r="E304" s="6">
        <v>5</v>
      </c>
      <c r="F304" s="6">
        <v>4</v>
      </c>
      <c r="G304" s="6">
        <v>14</v>
      </c>
      <c r="H304" s="6">
        <v>1</v>
      </c>
      <c r="I304" s="6">
        <v>28</v>
      </c>
      <c r="J304" s="6">
        <v>5</v>
      </c>
      <c r="K304" s="6">
        <v>1</v>
      </c>
      <c r="L304" s="6">
        <v>4</v>
      </c>
      <c r="M304" s="6">
        <v>3</v>
      </c>
      <c r="N304" s="6">
        <v>9</v>
      </c>
      <c r="O304" s="6">
        <v>28</v>
      </c>
      <c r="P304" s="6">
        <v>-12</v>
      </c>
      <c r="Q304" s="6">
        <v>1</v>
      </c>
      <c r="R304" s="6">
        <v>19</v>
      </c>
      <c r="S304" s="6">
        <v>11</v>
      </c>
      <c r="T304" s="5"/>
      <c r="U304" s="6">
        <v>7</v>
      </c>
      <c r="V304" s="6">
        <v>1</v>
      </c>
      <c r="W304" s="6">
        <v>8</v>
      </c>
      <c r="X304" s="6">
        <v>4</v>
      </c>
      <c r="Y304" s="6">
        <v>1</v>
      </c>
      <c r="Z304" s="6">
        <v>1</v>
      </c>
      <c r="AA304" s="6">
        <v>2</v>
      </c>
      <c r="AB304" s="6">
        <v>1</v>
      </c>
      <c r="AC304" s="6">
        <v>11</v>
      </c>
      <c r="AD304" s="6">
        <v>13</v>
      </c>
      <c r="AE304" s="6">
        <v>2</v>
      </c>
      <c r="AF304" s="6">
        <v>1</v>
      </c>
      <c r="AG304" s="6">
        <v>8</v>
      </c>
      <c r="AH304" s="6">
        <v>1</v>
      </c>
      <c r="AI304" s="5"/>
      <c r="AJ304" s="6">
        <v>2</v>
      </c>
      <c r="AK304" s="6">
        <v>4</v>
      </c>
      <c r="AL304" s="6">
        <v>188</v>
      </c>
    </row>
    <row r="305" spans="1:38" ht="11.1" customHeight="1" x14ac:dyDescent="0.2">
      <c r="A305" s="4" t="s">
        <v>641</v>
      </c>
      <c r="B305" s="4" t="s">
        <v>642</v>
      </c>
      <c r="C305" s="4" t="s">
        <v>1482</v>
      </c>
      <c r="D305" s="4">
        <v>10</v>
      </c>
      <c r="E305" s="6">
        <v>7</v>
      </c>
      <c r="F305" s="6">
        <v>3</v>
      </c>
      <c r="G305" s="6">
        <v>20</v>
      </c>
      <c r="H305" s="6">
        <v>10</v>
      </c>
      <c r="I305" s="6">
        <v>18</v>
      </c>
      <c r="J305" s="6">
        <v>10</v>
      </c>
      <c r="K305" s="6">
        <v>2</v>
      </c>
      <c r="L305" s="6">
        <v>3</v>
      </c>
      <c r="M305" s="6">
        <v>17</v>
      </c>
      <c r="N305" s="6">
        <v>3</v>
      </c>
      <c r="O305" s="6">
        <v>26</v>
      </c>
      <c r="P305" s="6">
        <v>-11</v>
      </c>
      <c r="Q305" s="6">
        <v>4</v>
      </c>
      <c r="R305" s="6">
        <v>2</v>
      </c>
      <c r="S305" s="5"/>
      <c r="T305" s="5"/>
      <c r="U305" s="6">
        <v>5</v>
      </c>
      <c r="V305" s="6">
        <v>6</v>
      </c>
      <c r="W305" s="6">
        <v>24</v>
      </c>
      <c r="X305" s="5"/>
      <c r="Y305" s="6">
        <v>1</v>
      </c>
      <c r="Z305" s="6">
        <v>4</v>
      </c>
      <c r="AA305" s="6">
        <v>5</v>
      </c>
      <c r="AB305" s="6">
        <v>2</v>
      </c>
      <c r="AC305" s="6">
        <v>6</v>
      </c>
      <c r="AD305" s="6">
        <v>4</v>
      </c>
      <c r="AE305" s="6">
        <v>3</v>
      </c>
      <c r="AF305" s="6">
        <v>2</v>
      </c>
      <c r="AG305" s="5"/>
      <c r="AH305" s="5"/>
      <c r="AI305" s="6">
        <v>7</v>
      </c>
      <c r="AJ305" s="5"/>
      <c r="AK305" s="6">
        <v>3</v>
      </c>
      <c r="AL305" s="6">
        <v>186</v>
      </c>
    </row>
    <row r="306" spans="1:38" ht="11.1" customHeight="1" x14ac:dyDescent="0.2">
      <c r="A306" s="4" t="s">
        <v>643</v>
      </c>
      <c r="B306" s="4" t="s">
        <v>644</v>
      </c>
      <c r="C306" s="4" t="s">
        <v>1483</v>
      </c>
      <c r="D306" s="4">
        <v>5</v>
      </c>
      <c r="E306" s="5"/>
      <c r="F306" s="5"/>
      <c r="G306" s="5"/>
      <c r="H306" s="5"/>
      <c r="I306" s="5"/>
      <c r="J306" s="5"/>
      <c r="K306" s="6">
        <v>4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6">
        <v>1</v>
      </c>
      <c r="AJ306" s="5"/>
      <c r="AK306" s="5"/>
      <c r="AL306" s="6">
        <v>5</v>
      </c>
    </row>
    <row r="307" spans="1:38" ht="11.1" customHeight="1" x14ac:dyDescent="0.2">
      <c r="A307" s="4" t="s">
        <v>645</v>
      </c>
      <c r="B307" s="4" t="s">
        <v>646</v>
      </c>
      <c r="C307" s="4" t="s">
        <v>1484</v>
      </c>
      <c r="D307" s="4">
        <v>5</v>
      </c>
      <c r="E307" s="6">
        <v>5</v>
      </c>
      <c r="F307" s="5"/>
      <c r="G307" s="6">
        <v>10</v>
      </c>
      <c r="H307" s="6">
        <v>10</v>
      </c>
      <c r="I307" s="6">
        <v>2</v>
      </c>
      <c r="J307" s="5"/>
      <c r="K307" s="5"/>
      <c r="L307" s="5"/>
      <c r="M307" s="6">
        <v>1</v>
      </c>
      <c r="N307" s="5"/>
      <c r="O307" s="5"/>
      <c r="P307" s="6">
        <v>-24</v>
      </c>
      <c r="Q307" s="5"/>
      <c r="R307" s="5"/>
      <c r="S307" s="5"/>
      <c r="T307" s="5"/>
      <c r="U307" s="5"/>
      <c r="V307" s="5"/>
      <c r="W307" s="6">
        <v>1</v>
      </c>
      <c r="X307" s="5"/>
      <c r="Y307" s="6">
        <v>1</v>
      </c>
      <c r="Z307" s="5"/>
      <c r="AA307" s="5"/>
      <c r="AB307" s="5"/>
      <c r="AC307" s="5"/>
      <c r="AD307" s="6">
        <v>7</v>
      </c>
      <c r="AE307" s="5"/>
      <c r="AF307" s="5"/>
      <c r="AG307" s="5"/>
      <c r="AH307" s="5"/>
      <c r="AI307" s="5"/>
      <c r="AJ307" s="6">
        <v>1</v>
      </c>
      <c r="AK307" s="5"/>
      <c r="AL307" s="6">
        <v>14</v>
      </c>
    </row>
    <row r="308" spans="1:38" ht="11.1" customHeight="1" x14ac:dyDescent="0.2">
      <c r="A308" s="4" t="s">
        <v>647</v>
      </c>
      <c r="B308" s="4" t="s">
        <v>648</v>
      </c>
      <c r="C308" s="4" t="s">
        <v>1485</v>
      </c>
      <c r="D308" s="4">
        <v>6</v>
      </c>
      <c r="E308" s="5"/>
      <c r="F308" s="6">
        <v>22</v>
      </c>
      <c r="G308" s="6">
        <v>24</v>
      </c>
      <c r="H308" s="6">
        <v>13</v>
      </c>
      <c r="I308" s="6">
        <v>5</v>
      </c>
      <c r="J308" s="6">
        <v>52</v>
      </c>
      <c r="K308" s="6">
        <v>27</v>
      </c>
      <c r="L308" s="5"/>
      <c r="M308" s="6">
        <v>-28</v>
      </c>
      <c r="N308" s="5"/>
      <c r="O308" s="6">
        <v>39</v>
      </c>
      <c r="P308" s="6">
        <v>-8</v>
      </c>
      <c r="Q308" s="6">
        <v>4</v>
      </c>
      <c r="R308" s="5"/>
      <c r="S308" s="6">
        <v>2</v>
      </c>
      <c r="T308" s="5"/>
      <c r="U308" s="5"/>
      <c r="V308" s="6">
        <v>5</v>
      </c>
      <c r="W308" s="6">
        <v>11</v>
      </c>
      <c r="X308" s="6">
        <v>16</v>
      </c>
      <c r="Y308" s="6">
        <v>2</v>
      </c>
      <c r="Z308" s="6">
        <v>11</v>
      </c>
      <c r="AA308" s="5"/>
      <c r="AB308" s="6">
        <v>20</v>
      </c>
      <c r="AC308" s="6">
        <v>5</v>
      </c>
      <c r="AD308" s="5"/>
      <c r="AE308" s="5"/>
      <c r="AF308" s="6">
        <v>2</v>
      </c>
      <c r="AG308" s="6">
        <v>4</v>
      </c>
      <c r="AH308" s="5"/>
      <c r="AI308" s="5"/>
      <c r="AJ308" s="6">
        <v>5</v>
      </c>
      <c r="AK308" s="6">
        <v>4</v>
      </c>
      <c r="AL308" s="6">
        <v>237</v>
      </c>
    </row>
    <row r="309" spans="1:38" ht="11.1" customHeight="1" x14ac:dyDescent="0.2">
      <c r="A309" s="4" t="s">
        <v>649</v>
      </c>
      <c r="B309" s="4" t="s">
        <v>650</v>
      </c>
      <c r="C309" s="4" t="s">
        <v>1486</v>
      </c>
      <c r="D309" s="4">
        <v>6</v>
      </c>
      <c r="E309" s="6">
        <v>21</v>
      </c>
      <c r="F309" s="6">
        <v>1</v>
      </c>
      <c r="G309" s="5"/>
      <c r="H309" s="6">
        <v>10</v>
      </c>
      <c r="I309" s="5"/>
      <c r="J309" s="5"/>
      <c r="K309" s="6">
        <v>1</v>
      </c>
      <c r="L309" s="6">
        <v>16</v>
      </c>
      <c r="M309" s="6">
        <v>2</v>
      </c>
      <c r="N309" s="6">
        <v>64</v>
      </c>
      <c r="O309" s="6">
        <v>29</v>
      </c>
      <c r="P309" s="6">
        <v>47</v>
      </c>
      <c r="Q309" s="6">
        <v>3</v>
      </c>
      <c r="R309" s="6">
        <v>27</v>
      </c>
      <c r="S309" s="6">
        <v>4</v>
      </c>
      <c r="T309" s="5"/>
      <c r="U309" s="5"/>
      <c r="V309" s="6">
        <v>1</v>
      </c>
      <c r="W309" s="5"/>
      <c r="X309" s="6">
        <v>2</v>
      </c>
      <c r="Y309" s="6">
        <v>12</v>
      </c>
      <c r="Z309" s="6">
        <v>18</v>
      </c>
      <c r="AA309" s="5"/>
      <c r="AB309" s="6">
        <v>2</v>
      </c>
      <c r="AC309" s="5"/>
      <c r="AD309" s="6">
        <v>12</v>
      </c>
      <c r="AE309" s="6">
        <v>27</v>
      </c>
      <c r="AF309" s="6">
        <v>18</v>
      </c>
      <c r="AG309" s="6">
        <v>3</v>
      </c>
      <c r="AH309" s="6">
        <v>5</v>
      </c>
      <c r="AI309" s="5"/>
      <c r="AJ309" s="5"/>
      <c r="AK309" s="6">
        <v>8</v>
      </c>
      <c r="AL309" s="6">
        <v>333</v>
      </c>
    </row>
    <row r="310" spans="1:38" ht="11.1" customHeight="1" x14ac:dyDescent="0.2">
      <c r="A310" s="4" t="s">
        <v>651</v>
      </c>
      <c r="B310" s="4" t="s">
        <v>652</v>
      </c>
      <c r="C310" s="4" t="s">
        <v>1487</v>
      </c>
      <c r="D310" s="4">
        <v>10</v>
      </c>
      <c r="E310" s="6">
        <v>5</v>
      </c>
      <c r="F310" s="6">
        <v>1</v>
      </c>
      <c r="G310" s="6">
        <v>10</v>
      </c>
      <c r="H310" s="6">
        <v>10</v>
      </c>
      <c r="I310" s="6">
        <v>2</v>
      </c>
      <c r="J310" s="5"/>
      <c r="K310" s="5"/>
      <c r="L310" s="6">
        <v>21</v>
      </c>
      <c r="M310" s="5"/>
      <c r="N310" s="5"/>
      <c r="O310" s="6">
        <v>11</v>
      </c>
      <c r="P310" s="6">
        <v>-18</v>
      </c>
      <c r="Q310" s="5"/>
      <c r="R310" s="5"/>
      <c r="S310" s="5"/>
      <c r="T310" s="5"/>
      <c r="U310" s="6">
        <v>21</v>
      </c>
      <c r="V310" s="5"/>
      <c r="W310" s="5"/>
      <c r="X310" s="5"/>
      <c r="Y310" s="5"/>
      <c r="Z310" s="5"/>
      <c r="AA310" s="6">
        <v>15</v>
      </c>
      <c r="AB310" s="5"/>
      <c r="AC310" s="5"/>
      <c r="AD310" s="6">
        <v>9</v>
      </c>
      <c r="AE310" s="6">
        <v>1</v>
      </c>
      <c r="AF310" s="5"/>
      <c r="AG310" s="5"/>
      <c r="AH310" s="5"/>
      <c r="AI310" s="5"/>
      <c r="AJ310" s="6">
        <v>4</v>
      </c>
      <c r="AK310" s="5"/>
      <c r="AL310" s="6">
        <v>92</v>
      </c>
    </row>
    <row r="311" spans="1:38" ht="11.1" customHeight="1" x14ac:dyDescent="0.2">
      <c r="A311" s="4" t="s">
        <v>653</v>
      </c>
      <c r="B311" s="4" t="s">
        <v>654</v>
      </c>
      <c r="C311" s="4" t="s">
        <v>1488</v>
      </c>
      <c r="D311" s="4">
        <v>10</v>
      </c>
      <c r="E311" s="6">
        <v>16</v>
      </c>
      <c r="F311" s="5"/>
      <c r="G311" s="6">
        <v>17</v>
      </c>
      <c r="H311" s="6">
        <v>69</v>
      </c>
      <c r="I311" s="6">
        <v>23</v>
      </c>
      <c r="J311" s="6">
        <v>30</v>
      </c>
      <c r="K311" s="6">
        <v>10</v>
      </c>
      <c r="L311" s="6">
        <v>19</v>
      </c>
      <c r="M311" s="6">
        <v>-14</v>
      </c>
      <c r="N311" s="6">
        <v>18</v>
      </c>
      <c r="O311" s="6">
        <v>30</v>
      </c>
      <c r="P311" s="6">
        <v>2</v>
      </c>
      <c r="Q311" s="6">
        <v>4</v>
      </c>
      <c r="R311" s="6">
        <v>80</v>
      </c>
      <c r="S311" s="6">
        <v>2</v>
      </c>
      <c r="T311" s="5"/>
      <c r="U311" s="6">
        <v>22</v>
      </c>
      <c r="V311" s="6">
        <v>2</v>
      </c>
      <c r="W311" s="5"/>
      <c r="X311" s="6">
        <v>1</v>
      </c>
      <c r="Y311" s="5"/>
      <c r="Z311" s="6">
        <v>9</v>
      </c>
      <c r="AA311" s="6">
        <v>31</v>
      </c>
      <c r="AB311" s="6">
        <v>1</v>
      </c>
      <c r="AC311" s="6">
        <v>6</v>
      </c>
      <c r="AD311" s="6">
        <v>2</v>
      </c>
      <c r="AE311" s="6">
        <v>48</v>
      </c>
      <c r="AF311" s="6">
        <v>1</v>
      </c>
      <c r="AG311" s="6">
        <v>4</v>
      </c>
      <c r="AH311" s="6">
        <v>10</v>
      </c>
      <c r="AI311" s="5"/>
      <c r="AJ311" s="6">
        <v>30</v>
      </c>
      <c r="AK311" s="6">
        <v>6</v>
      </c>
      <c r="AL311" s="6">
        <v>479</v>
      </c>
    </row>
    <row r="312" spans="1:38" ht="11.1" customHeight="1" x14ac:dyDescent="0.2">
      <c r="A312" s="4" t="s">
        <v>655</v>
      </c>
      <c r="B312" s="4" t="s">
        <v>656</v>
      </c>
      <c r="C312" s="4" t="s">
        <v>1489</v>
      </c>
      <c r="D312" s="4">
        <v>10</v>
      </c>
      <c r="E312" s="5"/>
      <c r="F312" s="5"/>
      <c r="G312" s="5"/>
      <c r="H312" s="5"/>
      <c r="I312" s="5"/>
      <c r="J312" s="6">
        <v>2</v>
      </c>
      <c r="K312" s="6">
        <v>4</v>
      </c>
      <c r="L312" s="5"/>
      <c r="M312" s="6">
        <v>35</v>
      </c>
      <c r="N312" s="6">
        <v>-2</v>
      </c>
      <c r="O312" s="6">
        <v>109</v>
      </c>
      <c r="P312" s="6">
        <v>14</v>
      </c>
      <c r="Q312" s="6">
        <v>10</v>
      </c>
      <c r="R312" s="5"/>
      <c r="S312" s="5"/>
      <c r="T312" s="5"/>
      <c r="U312" s="5"/>
      <c r="V312" s="5"/>
      <c r="W312" s="5"/>
      <c r="X312" s="6">
        <v>2</v>
      </c>
      <c r="Y312" s="6">
        <v>4</v>
      </c>
      <c r="Z312" s="5"/>
      <c r="AA312" s="5"/>
      <c r="AB312" s="6">
        <v>4</v>
      </c>
      <c r="AC312" s="5"/>
      <c r="AD312" s="5"/>
      <c r="AE312" s="5"/>
      <c r="AF312" s="6">
        <v>1</v>
      </c>
      <c r="AG312" s="6">
        <v>3</v>
      </c>
      <c r="AH312" s="5"/>
      <c r="AI312" s="5"/>
      <c r="AJ312" s="6">
        <v>5</v>
      </c>
      <c r="AK312" s="6">
        <v>4</v>
      </c>
      <c r="AL312" s="6">
        <v>195</v>
      </c>
    </row>
    <row r="313" spans="1:38" ht="11.1" customHeight="1" x14ac:dyDescent="0.2">
      <c r="A313" s="4" t="s">
        <v>657</v>
      </c>
      <c r="B313" s="4" t="s">
        <v>658</v>
      </c>
      <c r="C313" s="4" t="s">
        <v>1490</v>
      </c>
      <c r="D313" s="4">
        <v>10</v>
      </c>
      <c r="E313" s="6">
        <v>5</v>
      </c>
      <c r="F313" s="5"/>
      <c r="G313" s="6">
        <v>8</v>
      </c>
      <c r="H313" s="6">
        <v>10</v>
      </c>
      <c r="I313" s="5"/>
      <c r="J313" s="6">
        <v>4</v>
      </c>
      <c r="K313" s="6">
        <v>1</v>
      </c>
      <c r="L313" s="5"/>
      <c r="M313" s="6">
        <v>1</v>
      </c>
      <c r="N313" s="6">
        <v>3</v>
      </c>
      <c r="O313" s="6">
        <v>4</v>
      </c>
      <c r="P313" s="6">
        <v>-17</v>
      </c>
      <c r="Q313" s="5"/>
      <c r="R313" s="5"/>
      <c r="S313" s="5"/>
      <c r="T313" s="5"/>
      <c r="U313" s="5"/>
      <c r="V313" s="6">
        <v>1</v>
      </c>
      <c r="W313" s="6">
        <v>2</v>
      </c>
      <c r="X313" s="5"/>
      <c r="Y313" s="5"/>
      <c r="Z313" s="5"/>
      <c r="AA313" s="6">
        <v>1</v>
      </c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6">
        <v>23</v>
      </c>
    </row>
    <row r="314" spans="1:38" ht="11.1" customHeight="1" x14ac:dyDescent="0.2">
      <c r="A314" s="4" t="s">
        <v>659</v>
      </c>
      <c r="B314" s="4" t="s">
        <v>660</v>
      </c>
      <c r="C314" s="4" t="s">
        <v>1491</v>
      </c>
      <c r="D314" s="4">
        <v>20</v>
      </c>
      <c r="E314" s="6">
        <v>95</v>
      </c>
      <c r="F314" s="6">
        <v>101</v>
      </c>
      <c r="G314" s="6">
        <v>63</v>
      </c>
      <c r="H314" s="6">
        <v>30</v>
      </c>
      <c r="I314" s="6">
        <v>185</v>
      </c>
      <c r="J314" s="6">
        <v>19</v>
      </c>
      <c r="K314" s="6">
        <v>83</v>
      </c>
      <c r="L314" s="6">
        <v>75</v>
      </c>
      <c r="M314" s="6">
        <v>126</v>
      </c>
      <c r="N314" s="6">
        <v>102</v>
      </c>
      <c r="O314" s="6">
        <v>186</v>
      </c>
      <c r="P314" s="6">
        <v>78</v>
      </c>
      <c r="Q314" s="6">
        <v>15</v>
      </c>
      <c r="R314" s="5"/>
      <c r="S314" s="6">
        <v>84</v>
      </c>
      <c r="T314" s="6">
        <v>12</v>
      </c>
      <c r="U314" s="6">
        <v>103</v>
      </c>
      <c r="V314" s="6">
        <v>35</v>
      </c>
      <c r="W314" s="6">
        <v>77</v>
      </c>
      <c r="X314" s="6">
        <v>81</v>
      </c>
      <c r="Y314" s="6">
        <v>85</v>
      </c>
      <c r="Z314" s="6">
        <v>76</v>
      </c>
      <c r="AA314" s="6">
        <v>69</v>
      </c>
      <c r="AB314" s="6">
        <v>31</v>
      </c>
      <c r="AC314" s="6">
        <v>110</v>
      </c>
      <c r="AD314" s="6">
        <v>96</v>
      </c>
      <c r="AE314" s="6">
        <v>12</v>
      </c>
      <c r="AF314" s="6">
        <v>19</v>
      </c>
      <c r="AG314" s="6">
        <v>3</v>
      </c>
      <c r="AH314" s="6">
        <v>3</v>
      </c>
      <c r="AI314" s="6">
        <v>39</v>
      </c>
      <c r="AJ314" s="6">
        <v>74</v>
      </c>
      <c r="AK314" s="6">
        <v>55</v>
      </c>
      <c r="AL314" s="7">
        <v>2222</v>
      </c>
    </row>
    <row r="315" spans="1:38" ht="11.1" customHeight="1" x14ac:dyDescent="0.2">
      <c r="A315" s="4" t="s">
        <v>661</v>
      </c>
      <c r="B315" s="4" t="s">
        <v>662</v>
      </c>
      <c r="C315" s="4" t="s">
        <v>1492</v>
      </c>
      <c r="D315" s="4">
        <v>10</v>
      </c>
      <c r="E315" s="6">
        <v>16</v>
      </c>
      <c r="F315" s="6">
        <v>17</v>
      </c>
      <c r="G315" s="6">
        <v>44</v>
      </c>
      <c r="H315" s="6">
        <v>55</v>
      </c>
      <c r="I315" s="6">
        <v>103</v>
      </c>
      <c r="J315" s="6">
        <v>20</v>
      </c>
      <c r="K315" s="6">
        <v>33</v>
      </c>
      <c r="L315" s="6">
        <v>37</v>
      </c>
      <c r="M315" s="6">
        <v>41</v>
      </c>
      <c r="N315" s="6">
        <v>48</v>
      </c>
      <c r="O315" s="6">
        <v>63</v>
      </c>
      <c r="P315" s="6">
        <v>30</v>
      </c>
      <c r="Q315" s="6">
        <v>18</v>
      </c>
      <c r="R315" s="6">
        <v>9</v>
      </c>
      <c r="S315" s="6">
        <v>30</v>
      </c>
      <c r="T315" s="6">
        <v>3</v>
      </c>
      <c r="U315" s="6">
        <v>33</v>
      </c>
      <c r="V315" s="6">
        <v>27</v>
      </c>
      <c r="W315" s="6">
        <v>40</v>
      </c>
      <c r="X315" s="6">
        <v>13</v>
      </c>
      <c r="Y315" s="6">
        <v>30</v>
      </c>
      <c r="Z315" s="6">
        <v>14</v>
      </c>
      <c r="AA315" s="6">
        <v>28</v>
      </c>
      <c r="AB315" s="6">
        <v>39</v>
      </c>
      <c r="AC315" s="6">
        <v>36</v>
      </c>
      <c r="AD315" s="6">
        <v>64</v>
      </c>
      <c r="AE315" s="6">
        <v>46</v>
      </c>
      <c r="AF315" s="6">
        <v>-17</v>
      </c>
      <c r="AG315" s="5"/>
      <c r="AH315" s="6">
        <v>23</v>
      </c>
      <c r="AI315" s="6">
        <v>29</v>
      </c>
      <c r="AJ315" s="6">
        <v>3</v>
      </c>
      <c r="AK315" s="6">
        <v>28</v>
      </c>
      <c r="AL315" s="7">
        <v>1003</v>
      </c>
    </row>
    <row r="316" spans="1:38" ht="11.1" customHeight="1" x14ac:dyDescent="0.2">
      <c r="A316" s="4" t="s">
        <v>663</v>
      </c>
      <c r="B316" s="4" t="s">
        <v>664</v>
      </c>
      <c r="C316" s="4" t="s">
        <v>1493</v>
      </c>
      <c r="D316" s="4">
        <v>5</v>
      </c>
      <c r="E316" s="6">
        <v>17</v>
      </c>
      <c r="F316" s="6">
        <v>11</v>
      </c>
      <c r="G316" s="6">
        <v>18</v>
      </c>
      <c r="H316" s="6">
        <v>30</v>
      </c>
      <c r="I316" s="6">
        <v>25</v>
      </c>
      <c r="J316" s="6">
        <v>32</v>
      </c>
      <c r="K316" s="6">
        <v>30</v>
      </c>
      <c r="L316" s="6">
        <v>19</v>
      </c>
      <c r="M316" s="6">
        <v>21</v>
      </c>
      <c r="N316" s="6">
        <v>29</v>
      </c>
      <c r="O316" s="6">
        <v>32</v>
      </c>
      <c r="P316" s="6">
        <v>4</v>
      </c>
      <c r="Q316" s="6">
        <v>17</v>
      </c>
      <c r="R316" s="6">
        <v>39</v>
      </c>
      <c r="S316" s="6">
        <v>3</v>
      </c>
      <c r="T316" s="6">
        <v>2</v>
      </c>
      <c r="U316" s="6">
        <v>13</v>
      </c>
      <c r="V316" s="6">
        <v>64</v>
      </c>
      <c r="W316" s="6">
        <v>11</v>
      </c>
      <c r="X316" s="6">
        <v>3</v>
      </c>
      <c r="Y316" s="6">
        <v>13</v>
      </c>
      <c r="Z316" s="6">
        <v>5</v>
      </c>
      <c r="AA316" s="6">
        <v>9</v>
      </c>
      <c r="AB316" s="6">
        <v>5</v>
      </c>
      <c r="AC316" s="6">
        <v>13</v>
      </c>
      <c r="AD316" s="6">
        <v>25</v>
      </c>
      <c r="AE316" s="6">
        <v>16</v>
      </c>
      <c r="AF316" s="6">
        <v>12</v>
      </c>
      <c r="AG316" s="6">
        <v>6</v>
      </c>
      <c r="AH316" s="6">
        <v>1</v>
      </c>
      <c r="AI316" s="6">
        <v>11</v>
      </c>
      <c r="AJ316" s="5"/>
      <c r="AK316" s="6">
        <v>13</v>
      </c>
      <c r="AL316" s="6">
        <v>549</v>
      </c>
    </row>
    <row r="317" spans="1:38" ht="11.1" customHeight="1" x14ac:dyDescent="0.2">
      <c r="A317" s="4" t="s">
        <v>665</v>
      </c>
      <c r="B317" s="4" t="s">
        <v>666</v>
      </c>
      <c r="C317" s="4" t="s">
        <v>1494</v>
      </c>
      <c r="D317" s="4">
        <v>5</v>
      </c>
      <c r="E317" s="6">
        <v>1</v>
      </c>
      <c r="F317" s="6">
        <v>1</v>
      </c>
      <c r="G317" s="6">
        <v>11</v>
      </c>
      <c r="H317" s="6">
        <v>25</v>
      </c>
      <c r="I317" s="6">
        <v>15</v>
      </c>
      <c r="J317" s="6">
        <v>13</v>
      </c>
      <c r="K317" s="6">
        <v>4</v>
      </c>
      <c r="L317" s="6">
        <v>1</v>
      </c>
      <c r="M317" s="6">
        <v>33</v>
      </c>
      <c r="N317" s="6">
        <v>12</v>
      </c>
      <c r="O317" s="6">
        <v>18</v>
      </c>
      <c r="P317" s="6">
        <v>-11</v>
      </c>
      <c r="Q317" s="6">
        <v>5</v>
      </c>
      <c r="R317" s="5"/>
      <c r="S317" s="6">
        <v>2</v>
      </c>
      <c r="T317" s="5"/>
      <c r="U317" s="6">
        <v>12</v>
      </c>
      <c r="V317" s="6">
        <v>2</v>
      </c>
      <c r="W317" s="6">
        <v>5</v>
      </c>
      <c r="X317" s="6">
        <v>5</v>
      </c>
      <c r="Y317" s="6">
        <v>9</v>
      </c>
      <c r="Z317" s="6">
        <v>1</v>
      </c>
      <c r="AA317" s="6">
        <v>9</v>
      </c>
      <c r="AB317" s="6">
        <v>6</v>
      </c>
      <c r="AC317" s="6">
        <v>12</v>
      </c>
      <c r="AD317" s="6">
        <v>13</v>
      </c>
      <c r="AE317" s="6">
        <v>4</v>
      </c>
      <c r="AF317" s="6">
        <v>2</v>
      </c>
      <c r="AG317" s="6">
        <v>1</v>
      </c>
      <c r="AH317" s="6">
        <v>1</v>
      </c>
      <c r="AI317" s="5"/>
      <c r="AJ317" s="6">
        <v>1</v>
      </c>
      <c r="AK317" s="5"/>
      <c r="AL317" s="6">
        <v>213</v>
      </c>
    </row>
    <row r="318" spans="1:38" ht="11.1" customHeight="1" x14ac:dyDescent="0.2">
      <c r="A318" s="4" t="s">
        <v>667</v>
      </c>
      <c r="B318" s="4" t="s">
        <v>668</v>
      </c>
      <c r="C318" s="4" t="s">
        <v>1495</v>
      </c>
      <c r="D318" s="4">
        <v>5</v>
      </c>
      <c r="E318" s="6">
        <v>6</v>
      </c>
      <c r="F318" s="5"/>
      <c r="G318" s="6">
        <v>1</v>
      </c>
      <c r="H318" s="6">
        <v>11</v>
      </c>
      <c r="I318" s="6">
        <v>15</v>
      </c>
      <c r="J318" s="6">
        <v>2</v>
      </c>
      <c r="K318" s="5"/>
      <c r="L318" s="6">
        <v>5</v>
      </c>
      <c r="M318" s="6">
        <v>11</v>
      </c>
      <c r="N318" s="6">
        <v>1</v>
      </c>
      <c r="O318" s="6">
        <v>7</v>
      </c>
      <c r="P318" s="6">
        <v>-15</v>
      </c>
      <c r="Q318" s="5"/>
      <c r="R318" s="5"/>
      <c r="S318" s="5"/>
      <c r="T318" s="5"/>
      <c r="U318" s="6">
        <v>2</v>
      </c>
      <c r="V318" s="5"/>
      <c r="W318" s="5"/>
      <c r="X318" s="5"/>
      <c r="Y318" s="6">
        <v>3</v>
      </c>
      <c r="Z318" s="5"/>
      <c r="AA318" s="6">
        <v>1</v>
      </c>
      <c r="AB318" s="6">
        <v>5</v>
      </c>
      <c r="AC318" s="5"/>
      <c r="AD318" s="6">
        <v>1</v>
      </c>
      <c r="AE318" s="6">
        <v>2</v>
      </c>
      <c r="AF318" s="5"/>
      <c r="AG318" s="6">
        <v>1</v>
      </c>
      <c r="AH318" s="6">
        <v>2</v>
      </c>
      <c r="AI318" s="5"/>
      <c r="AJ318" s="5"/>
      <c r="AK318" s="6">
        <v>1</v>
      </c>
      <c r="AL318" s="6">
        <v>62</v>
      </c>
    </row>
    <row r="319" spans="1:38" ht="11.1" customHeight="1" x14ac:dyDescent="0.2">
      <c r="A319" s="4" t="s">
        <v>669</v>
      </c>
      <c r="B319" s="4" t="s">
        <v>670</v>
      </c>
      <c r="C319" s="4" t="s">
        <v>1496</v>
      </c>
      <c r="D319" s="4">
        <v>10</v>
      </c>
      <c r="E319" s="6">
        <v>16</v>
      </c>
      <c r="F319" s="6">
        <v>1</v>
      </c>
      <c r="G319" s="6">
        <v>11</v>
      </c>
      <c r="H319" s="6">
        <v>12</v>
      </c>
      <c r="I319" s="6">
        <v>9</v>
      </c>
      <c r="J319" s="6">
        <v>2</v>
      </c>
      <c r="K319" s="5"/>
      <c r="L319" s="6">
        <v>1</v>
      </c>
      <c r="M319" s="6">
        <v>-4</v>
      </c>
      <c r="N319" s="6">
        <v>3</v>
      </c>
      <c r="O319" s="6">
        <v>18</v>
      </c>
      <c r="P319" s="6">
        <v>-24</v>
      </c>
      <c r="Q319" s="5"/>
      <c r="R319" s="6">
        <v>1</v>
      </c>
      <c r="S319" s="6">
        <v>4</v>
      </c>
      <c r="T319" s="5"/>
      <c r="U319" s="6">
        <v>4</v>
      </c>
      <c r="V319" s="5"/>
      <c r="W319" s="6">
        <v>5</v>
      </c>
      <c r="X319" s="5"/>
      <c r="Y319" s="6">
        <v>5</v>
      </c>
      <c r="Z319" s="5"/>
      <c r="AA319" s="6">
        <v>8</v>
      </c>
      <c r="AB319" s="5"/>
      <c r="AC319" s="5"/>
      <c r="AD319" s="6">
        <v>2</v>
      </c>
      <c r="AE319" s="6">
        <v>9</v>
      </c>
      <c r="AF319" s="6">
        <v>7</v>
      </c>
      <c r="AG319" s="5"/>
      <c r="AH319" s="6">
        <v>1</v>
      </c>
      <c r="AI319" s="5"/>
      <c r="AJ319" s="6">
        <v>3</v>
      </c>
      <c r="AK319" s="6">
        <v>4</v>
      </c>
      <c r="AL319" s="6">
        <v>98</v>
      </c>
    </row>
    <row r="320" spans="1:38" ht="11.1" customHeight="1" x14ac:dyDescent="0.2">
      <c r="A320" s="4" t="s">
        <v>671</v>
      </c>
      <c r="B320" s="4" t="s">
        <v>672</v>
      </c>
      <c r="C320" s="4" t="s">
        <v>1497</v>
      </c>
      <c r="D320" s="4">
        <v>10</v>
      </c>
      <c r="E320" s="7">
        <v>1647</v>
      </c>
      <c r="F320" s="6">
        <v>526</v>
      </c>
      <c r="G320" s="7">
        <v>2197</v>
      </c>
      <c r="H320" s="7">
        <v>3902</v>
      </c>
      <c r="I320" s="7">
        <v>4600</v>
      </c>
      <c r="J320" s="7">
        <v>6224</v>
      </c>
      <c r="K320" s="7">
        <v>3610</v>
      </c>
      <c r="L320" s="7">
        <v>4571</v>
      </c>
      <c r="M320" s="7">
        <v>3837</v>
      </c>
      <c r="N320" s="7">
        <v>3658</v>
      </c>
      <c r="O320" s="7">
        <v>3004</v>
      </c>
      <c r="P320" s="7">
        <v>3123</v>
      </c>
      <c r="Q320" s="7">
        <v>2903</v>
      </c>
      <c r="R320" s="7">
        <v>2518</v>
      </c>
      <c r="S320" s="7">
        <v>2730</v>
      </c>
      <c r="T320" s="7">
        <v>2016</v>
      </c>
      <c r="U320" s="7">
        <v>1874</v>
      </c>
      <c r="V320" s="7">
        <v>1938</v>
      </c>
      <c r="W320" s="7">
        <v>1769</v>
      </c>
      <c r="X320" s="7">
        <v>2595</v>
      </c>
      <c r="Y320" s="7">
        <v>2620</v>
      </c>
      <c r="Z320" s="7">
        <v>1523</v>
      </c>
      <c r="AA320" s="7">
        <v>1702</v>
      </c>
      <c r="AB320" s="7">
        <v>2172</v>
      </c>
      <c r="AC320" s="6">
        <v>983</v>
      </c>
      <c r="AD320" s="7">
        <v>1621</v>
      </c>
      <c r="AE320" s="7">
        <v>1125</v>
      </c>
      <c r="AF320" s="7">
        <v>1236</v>
      </c>
      <c r="AG320" s="7">
        <v>1709</v>
      </c>
      <c r="AH320" s="7">
        <v>1270</v>
      </c>
      <c r="AI320" s="7">
        <v>1396</v>
      </c>
      <c r="AJ320" s="7">
        <v>1524</v>
      </c>
      <c r="AK320" s="6">
        <v>776</v>
      </c>
      <c r="AL320" s="7">
        <v>78899</v>
      </c>
    </row>
    <row r="321" spans="1:38" ht="11.1" customHeight="1" x14ac:dyDescent="0.2">
      <c r="A321" s="4" t="s">
        <v>673</v>
      </c>
      <c r="B321" s="4" t="s">
        <v>674</v>
      </c>
      <c r="C321" s="4" t="s">
        <v>1498</v>
      </c>
      <c r="D321" s="4">
        <v>10</v>
      </c>
      <c r="E321" s="6">
        <v>1</v>
      </c>
      <c r="F321" s="6">
        <v>20</v>
      </c>
      <c r="G321" s="6">
        <v>212</v>
      </c>
      <c r="H321" s="6">
        <v>196</v>
      </c>
      <c r="I321" s="6">
        <v>255</v>
      </c>
      <c r="J321" s="6">
        <v>513</v>
      </c>
      <c r="K321" s="6">
        <v>389</v>
      </c>
      <c r="L321" s="6">
        <v>260</v>
      </c>
      <c r="M321" s="6">
        <v>255</v>
      </c>
      <c r="N321" s="6">
        <v>270</v>
      </c>
      <c r="O321" s="6">
        <v>114</v>
      </c>
      <c r="P321" s="6">
        <v>61</v>
      </c>
      <c r="Q321" s="6">
        <v>124</v>
      </c>
      <c r="R321" s="6">
        <v>137</v>
      </c>
      <c r="S321" s="6">
        <v>68</v>
      </c>
      <c r="T321" s="6">
        <v>175</v>
      </c>
      <c r="U321" s="6">
        <v>21</v>
      </c>
      <c r="V321" s="6">
        <v>115</v>
      </c>
      <c r="W321" s="6">
        <v>116</v>
      </c>
      <c r="X321" s="6">
        <v>231</v>
      </c>
      <c r="Y321" s="6">
        <v>46</v>
      </c>
      <c r="Z321" s="6">
        <v>34</v>
      </c>
      <c r="AA321" s="6">
        <v>57</v>
      </c>
      <c r="AB321" s="6">
        <v>57</v>
      </c>
      <c r="AC321" s="6">
        <v>31</v>
      </c>
      <c r="AD321" s="6">
        <v>49</v>
      </c>
      <c r="AE321" s="6">
        <v>61</v>
      </c>
      <c r="AF321" s="6">
        <v>1</v>
      </c>
      <c r="AG321" s="6">
        <v>11</v>
      </c>
      <c r="AH321" s="6">
        <v>48</v>
      </c>
      <c r="AI321" s="6">
        <v>250</v>
      </c>
      <c r="AJ321" s="6">
        <v>130</v>
      </c>
      <c r="AK321" s="6">
        <v>1</v>
      </c>
      <c r="AL321" s="7">
        <v>4309</v>
      </c>
    </row>
    <row r="322" spans="1:38" ht="11.1" customHeight="1" x14ac:dyDescent="0.2">
      <c r="A322" s="4" t="s">
        <v>675</v>
      </c>
      <c r="B322" s="4" t="s">
        <v>676</v>
      </c>
      <c r="C322" s="4" t="s">
        <v>1499</v>
      </c>
      <c r="D322" s="4">
        <v>5</v>
      </c>
      <c r="E322" s="6">
        <v>78</v>
      </c>
      <c r="F322" s="5"/>
      <c r="G322" s="6">
        <v>89</v>
      </c>
      <c r="H322" s="6">
        <v>67</v>
      </c>
      <c r="I322" s="6">
        <v>441</v>
      </c>
      <c r="J322" s="6">
        <v>165</v>
      </c>
      <c r="K322" s="6">
        <v>186</v>
      </c>
      <c r="L322" s="6">
        <v>175</v>
      </c>
      <c r="M322" s="6">
        <v>170</v>
      </c>
      <c r="N322" s="6">
        <v>146</v>
      </c>
      <c r="O322" s="6">
        <v>117</v>
      </c>
      <c r="P322" s="6">
        <v>46</v>
      </c>
      <c r="Q322" s="6">
        <v>79</v>
      </c>
      <c r="R322" s="6">
        <v>168</v>
      </c>
      <c r="S322" s="6">
        <v>81</v>
      </c>
      <c r="T322" s="6">
        <v>74</v>
      </c>
      <c r="U322" s="6">
        <v>48</v>
      </c>
      <c r="V322" s="6">
        <v>83</v>
      </c>
      <c r="W322" s="6">
        <v>211</v>
      </c>
      <c r="X322" s="6">
        <v>97</v>
      </c>
      <c r="Y322" s="6">
        <v>155</v>
      </c>
      <c r="Z322" s="6">
        <v>61</v>
      </c>
      <c r="AA322" s="6">
        <v>77</v>
      </c>
      <c r="AB322" s="6">
        <v>94</v>
      </c>
      <c r="AC322" s="6">
        <v>25</v>
      </c>
      <c r="AD322" s="6">
        <v>68</v>
      </c>
      <c r="AE322" s="6">
        <v>51</v>
      </c>
      <c r="AF322" s="6">
        <v>61</v>
      </c>
      <c r="AG322" s="6">
        <v>78</v>
      </c>
      <c r="AH322" s="6">
        <v>18</v>
      </c>
      <c r="AI322" s="6">
        <v>69</v>
      </c>
      <c r="AJ322" s="6">
        <v>30</v>
      </c>
      <c r="AK322" s="6">
        <v>49</v>
      </c>
      <c r="AL322" s="7">
        <v>3357</v>
      </c>
    </row>
    <row r="323" spans="1:38" ht="11.1" customHeight="1" x14ac:dyDescent="0.2">
      <c r="A323" s="4" t="s">
        <v>677</v>
      </c>
      <c r="B323" s="4" t="s">
        <v>678</v>
      </c>
      <c r="C323" s="4" t="s">
        <v>1500</v>
      </c>
      <c r="D323" s="4">
        <v>10</v>
      </c>
      <c r="E323" s="6">
        <v>66</v>
      </c>
      <c r="F323" s="6">
        <v>21</v>
      </c>
      <c r="G323" s="6">
        <v>511</v>
      </c>
      <c r="H323" s="6">
        <v>586</v>
      </c>
      <c r="I323" s="6">
        <v>564</v>
      </c>
      <c r="J323" s="7">
        <v>1003</v>
      </c>
      <c r="K323" s="6">
        <v>683</v>
      </c>
      <c r="L323" s="6">
        <v>621</v>
      </c>
      <c r="M323" s="6">
        <v>981</v>
      </c>
      <c r="N323" s="6">
        <v>517</v>
      </c>
      <c r="O323" s="6">
        <v>437</v>
      </c>
      <c r="P323" s="6">
        <v>488</v>
      </c>
      <c r="Q323" s="6">
        <v>448</v>
      </c>
      <c r="R323" s="6">
        <v>417</v>
      </c>
      <c r="S323" s="6">
        <v>491</v>
      </c>
      <c r="T323" s="6">
        <v>431</v>
      </c>
      <c r="U323" s="6">
        <v>310</v>
      </c>
      <c r="V323" s="6">
        <v>441</v>
      </c>
      <c r="W323" s="6">
        <v>292</v>
      </c>
      <c r="X323" s="6">
        <v>476</v>
      </c>
      <c r="Y323" s="6">
        <v>378</v>
      </c>
      <c r="Z323" s="6">
        <v>208</v>
      </c>
      <c r="AA323" s="6">
        <v>371</v>
      </c>
      <c r="AB323" s="6">
        <v>439</v>
      </c>
      <c r="AC323" s="6">
        <v>179</v>
      </c>
      <c r="AD323" s="6">
        <v>237</v>
      </c>
      <c r="AE323" s="6">
        <v>244</v>
      </c>
      <c r="AF323" s="6">
        <v>192</v>
      </c>
      <c r="AG323" s="6">
        <v>330</v>
      </c>
      <c r="AH323" s="6">
        <v>175</v>
      </c>
      <c r="AI323" s="6">
        <v>230</v>
      </c>
      <c r="AJ323" s="6">
        <v>337</v>
      </c>
      <c r="AK323" s="6">
        <v>147</v>
      </c>
      <c r="AL323" s="7">
        <v>13251</v>
      </c>
    </row>
    <row r="324" spans="1:38" ht="11.1" customHeight="1" x14ac:dyDescent="0.2">
      <c r="A324" s="4" t="s">
        <v>679</v>
      </c>
      <c r="B324" s="4" t="s">
        <v>680</v>
      </c>
      <c r="C324" s="4" t="s">
        <v>1501</v>
      </c>
      <c r="D324" s="4">
        <v>5</v>
      </c>
      <c r="E324" s="6">
        <v>4</v>
      </c>
      <c r="F324" s="6">
        <v>64</v>
      </c>
      <c r="G324" s="6">
        <v>50</v>
      </c>
      <c r="H324" s="6">
        <v>27</v>
      </c>
      <c r="I324" s="6">
        <v>41</v>
      </c>
      <c r="J324" s="6">
        <v>6</v>
      </c>
      <c r="K324" s="6">
        <v>25</v>
      </c>
      <c r="L324" s="6">
        <v>33</v>
      </c>
      <c r="M324" s="6">
        <v>34</v>
      </c>
      <c r="N324" s="6">
        <v>-2</v>
      </c>
      <c r="O324" s="6">
        <v>25</v>
      </c>
      <c r="P324" s="6">
        <v>8</v>
      </c>
      <c r="Q324" s="6">
        <v>18</v>
      </c>
      <c r="R324" s="6">
        <v>150</v>
      </c>
      <c r="S324" s="6">
        <v>11</v>
      </c>
      <c r="T324" s="6">
        <v>39</v>
      </c>
      <c r="U324" s="6">
        <v>14</v>
      </c>
      <c r="V324" s="6">
        <v>34</v>
      </c>
      <c r="W324" s="6">
        <v>29</v>
      </c>
      <c r="X324" s="6">
        <v>3</v>
      </c>
      <c r="Y324" s="6">
        <v>10</v>
      </c>
      <c r="Z324" s="6">
        <v>6</v>
      </c>
      <c r="AA324" s="5"/>
      <c r="AB324" s="6">
        <v>22</v>
      </c>
      <c r="AC324" s="5"/>
      <c r="AD324" s="5"/>
      <c r="AE324" s="6">
        <v>4</v>
      </c>
      <c r="AF324" s="5"/>
      <c r="AG324" s="6">
        <v>-30</v>
      </c>
      <c r="AH324" s="6">
        <v>9</v>
      </c>
      <c r="AI324" s="6">
        <v>8</v>
      </c>
      <c r="AJ324" s="5"/>
      <c r="AK324" s="5"/>
      <c r="AL324" s="6">
        <v>642</v>
      </c>
    </row>
    <row r="325" spans="1:38" ht="11.1" customHeight="1" x14ac:dyDescent="0.2">
      <c r="A325" s="4" t="s">
        <v>681</v>
      </c>
      <c r="B325" s="4" t="s">
        <v>682</v>
      </c>
      <c r="C325" s="4" t="s">
        <v>1502</v>
      </c>
      <c r="D325" s="4">
        <v>5</v>
      </c>
      <c r="E325" s="6">
        <v>195</v>
      </c>
      <c r="F325" s="6">
        <v>99</v>
      </c>
      <c r="G325" s="6">
        <v>110</v>
      </c>
      <c r="H325" s="6">
        <v>75</v>
      </c>
      <c r="I325" s="6">
        <v>210</v>
      </c>
      <c r="J325" s="6">
        <v>123</v>
      </c>
      <c r="K325" s="6">
        <v>100</v>
      </c>
      <c r="L325" s="6">
        <v>143</v>
      </c>
      <c r="M325" s="6">
        <v>88</v>
      </c>
      <c r="N325" s="6">
        <v>57</v>
      </c>
      <c r="O325" s="6">
        <v>88</v>
      </c>
      <c r="P325" s="6">
        <v>21</v>
      </c>
      <c r="Q325" s="6">
        <v>90</v>
      </c>
      <c r="R325" s="6">
        <v>130</v>
      </c>
      <c r="S325" s="6">
        <v>52</v>
      </c>
      <c r="T325" s="6">
        <v>40</v>
      </c>
      <c r="U325" s="6">
        <v>48</v>
      </c>
      <c r="V325" s="6">
        <v>73</v>
      </c>
      <c r="W325" s="6">
        <v>69</v>
      </c>
      <c r="X325" s="6">
        <v>38</v>
      </c>
      <c r="Y325" s="6">
        <v>161</v>
      </c>
      <c r="Z325" s="6">
        <v>42</v>
      </c>
      <c r="AA325" s="6">
        <v>72</v>
      </c>
      <c r="AB325" s="6">
        <v>66</v>
      </c>
      <c r="AC325" s="6">
        <v>35</v>
      </c>
      <c r="AD325" s="6">
        <v>65</v>
      </c>
      <c r="AE325" s="6">
        <v>36</v>
      </c>
      <c r="AF325" s="6">
        <v>44</v>
      </c>
      <c r="AG325" s="6">
        <v>18</v>
      </c>
      <c r="AH325" s="6">
        <v>25</v>
      </c>
      <c r="AI325" s="6">
        <v>36</v>
      </c>
      <c r="AJ325" s="6">
        <v>29</v>
      </c>
      <c r="AK325" s="6">
        <v>25</v>
      </c>
      <c r="AL325" s="7">
        <v>2503</v>
      </c>
    </row>
    <row r="326" spans="1:38" ht="11.1" customHeight="1" x14ac:dyDescent="0.2">
      <c r="A326" s="4" t="s">
        <v>683</v>
      </c>
      <c r="B326" s="4" t="s">
        <v>684</v>
      </c>
      <c r="C326" s="4" t="s">
        <v>1503</v>
      </c>
      <c r="D326" s="4">
        <v>10</v>
      </c>
      <c r="E326" s="5"/>
      <c r="F326" s="5"/>
      <c r="G326" s="6">
        <v>228</v>
      </c>
      <c r="H326" s="6">
        <v>442</v>
      </c>
      <c r="I326" s="6">
        <v>470</v>
      </c>
      <c r="J326" s="6">
        <v>767</v>
      </c>
      <c r="K326" s="6">
        <v>634</v>
      </c>
      <c r="L326" s="6">
        <v>650</v>
      </c>
      <c r="M326" s="6">
        <v>406</v>
      </c>
      <c r="N326" s="6">
        <v>523</v>
      </c>
      <c r="O326" s="6">
        <v>418</v>
      </c>
      <c r="P326" s="6">
        <v>292</v>
      </c>
      <c r="Q326" s="6">
        <v>299</v>
      </c>
      <c r="R326" s="6">
        <v>244</v>
      </c>
      <c r="S326" s="6">
        <v>278</v>
      </c>
      <c r="T326" s="6">
        <v>314</v>
      </c>
      <c r="U326" s="6">
        <v>222</v>
      </c>
      <c r="V326" s="6">
        <v>233</v>
      </c>
      <c r="W326" s="6">
        <v>144</v>
      </c>
      <c r="X326" s="6">
        <v>361</v>
      </c>
      <c r="Y326" s="6">
        <v>232</v>
      </c>
      <c r="Z326" s="6">
        <v>185</v>
      </c>
      <c r="AA326" s="6">
        <v>176</v>
      </c>
      <c r="AB326" s="6">
        <v>255</v>
      </c>
      <c r="AC326" s="6">
        <v>130</v>
      </c>
      <c r="AD326" s="6">
        <v>145</v>
      </c>
      <c r="AE326" s="6">
        <v>151</v>
      </c>
      <c r="AF326" s="6">
        <v>136</v>
      </c>
      <c r="AG326" s="6">
        <v>203</v>
      </c>
      <c r="AH326" s="6">
        <v>79</v>
      </c>
      <c r="AI326" s="6">
        <v>163</v>
      </c>
      <c r="AJ326" s="6">
        <v>246</v>
      </c>
      <c r="AK326" s="6">
        <v>113</v>
      </c>
      <c r="AL326" s="7">
        <v>9139</v>
      </c>
    </row>
    <row r="327" spans="1:38" ht="11.1" customHeight="1" x14ac:dyDescent="0.2">
      <c r="A327" s="4" t="s">
        <v>685</v>
      </c>
      <c r="B327" s="4" t="s">
        <v>686</v>
      </c>
      <c r="C327" s="4" t="s">
        <v>1504</v>
      </c>
      <c r="D327" s="4">
        <v>5</v>
      </c>
      <c r="E327" s="6">
        <v>35</v>
      </c>
      <c r="F327" s="6">
        <v>6</v>
      </c>
      <c r="G327" s="6">
        <v>51</v>
      </c>
      <c r="H327" s="6">
        <v>20</v>
      </c>
      <c r="I327" s="6">
        <v>23</v>
      </c>
      <c r="J327" s="6">
        <v>30</v>
      </c>
      <c r="K327" s="6">
        <v>38</v>
      </c>
      <c r="L327" s="6">
        <v>4</v>
      </c>
      <c r="M327" s="6">
        <v>26</v>
      </c>
      <c r="N327" s="6">
        <v>-7</v>
      </c>
      <c r="O327" s="6">
        <v>45</v>
      </c>
      <c r="P327" s="6">
        <v>-7</v>
      </c>
      <c r="Q327" s="6">
        <v>13</v>
      </c>
      <c r="R327" s="6">
        <v>30</v>
      </c>
      <c r="S327" s="6">
        <v>5</v>
      </c>
      <c r="T327" s="6">
        <v>38</v>
      </c>
      <c r="U327" s="6">
        <v>2</v>
      </c>
      <c r="V327" s="6">
        <v>12</v>
      </c>
      <c r="W327" s="6">
        <v>34</v>
      </c>
      <c r="X327" s="5"/>
      <c r="Y327" s="6">
        <v>7</v>
      </c>
      <c r="Z327" s="5"/>
      <c r="AA327" s="5"/>
      <c r="AB327" s="6">
        <v>15</v>
      </c>
      <c r="AC327" s="5"/>
      <c r="AD327" s="5"/>
      <c r="AE327" s="6">
        <v>1</v>
      </c>
      <c r="AF327" s="5"/>
      <c r="AG327" s="5"/>
      <c r="AH327" s="6">
        <v>1</v>
      </c>
      <c r="AI327" s="6">
        <v>1</v>
      </c>
      <c r="AJ327" s="6">
        <v>10</v>
      </c>
      <c r="AK327" s="5"/>
      <c r="AL327" s="6">
        <v>433</v>
      </c>
    </row>
    <row r="328" spans="1:38" ht="11.1" customHeight="1" x14ac:dyDescent="0.2">
      <c r="A328" s="4" t="s">
        <v>687</v>
      </c>
      <c r="B328" s="4" t="s">
        <v>688</v>
      </c>
      <c r="C328" s="4" t="s">
        <v>1505</v>
      </c>
      <c r="D328" s="4">
        <v>5</v>
      </c>
      <c r="E328" s="5"/>
      <c r="F328" s="6">
        <v>1</v>
      </c>
      <c r="G328" s="6">
        <v>19</v>
      </c>
      <c r="H328" s="6">
        <v>46</v>
      </c>
      <c r="I328" s="6">
        <v>38</v>
      </c>
      <c r="J328" s="6">
        <v>35</v>
      </c>
      <c r="K328" s="6">
        <v>72</v>
      </c>
      <c r="L328" s="6">
        <v>41</v>
      </c>
      <c r="M328" s="6">
        <v>92</v>
      </c>
      <c r="N328" s="6">
        <v>24</v>
      </c>
      <c r="O328" s="6">
        <v>25</v>
      </c>
      <c r="P328" s="6">
        <v>46</v>
      </c>
      <c r="Q328" s="6">
        <v>31</v>
      </c>
      <c r="R328" s="6">
        <v>35</v>
      </c>
      <c r="S328" s="6">
        <v>40</v>
      </c>
      <c r="T328" s="6">
        <v>31</v>
      </c>
      <c r="U328" s="6">
        <v>30</v>
      </c>
      <c r="V328" s="6">
        <v>27</v>
      </c>
      <c r="W328" s="6">
        <v>33</v>
      </c>
      <c r="X328" s="6">
        <v>13</v>
      </c>
      <c r="Y328" s="6">
        <v>16</v>
      </c>
      <c r="Z328" s="6">
        <v>21</v>
      </c>
      <c r="AA328" s="6">
        <v>29</v>
      </c>
      <c r="AB328" s="6">
        <v>32</v>
      </c>
      <c r="AC328" s="6">
        <v>23</v>
      </c>
      <c r="AD328" s="6">
        <v>12</v>
      </c>
      <c r="AE328" s="6">
        <v>36</v>
      </c>
      <c r="AF328" s="6">
        <v>13</v>
      </c>
      <c r="AG328" s="6">
        <v>10</v>
      </c>
      <c r="AH328" s="6">
        <v>16</v>
      </c>
      <c r="AI328" s="6">
        <v>17</v>
      </c>
      <c r="AJ328" s="6">
        <v>22</v>
      </c>
      <c r="AK328" s="6">
        <v>16</v>
      </c>
      <c r="AL328" s="6">
        <v>942</v>
      </c>
    </row>
    <row r="329" spans="1:38" ht="11.1" customHeight="1" x14ac:dyDescent="0.2">
      <c r="A329" s="4" t="s">
        <v>689</v>
      </c>
      <c r="B329" s="4" t="s">
        <v>690</v>
      </c>
      <c r="C329" s="4" t="s">
        <v>1506</v>
      </c>
      <c r="D329" s="4">
        <v>5</v>
      </c>
      <c r="E329" s="6">
        <v>113</v>
      </c>
      <c r="F329" s="6">
        <v>21</v>
      </c>
      <c r="G329" s="6">
        <v>104</v>
      </c>
      <c r="H329" s="6">
        <v>194</v>
      </c>
      <c r="I329" s="6">
        <v>240</v>
      </c>
      <c r="J329" s="6">
        <v>277</v>
      </c>
      <c r="K329" s="6">
        <v>205</v>
      </c>
      <c r="L329" s="6">
        <v>249</v>
      </c>
      <c r="M329" s="6">
        <v>167</v>
      </c>
      <c r="N329" s="6">
        <v>179</v>
      </c>
      <c r="O329" s="6">
        <v>291</v>
      </c>
      <c r="P329" s="6">
        <v>107</v>
      </c>
      <c r="Q329" s="6">
        <v>179</v>
      </c>
      <c r="R329" s="6">
        <v>175</v>
      </c>
      <c r="S329" s="6">
        <v>79</v>
      </c>
      <c r="T329" s="6">
        <v>52</v>
      </c>
      <c r="U329" s="6">
        <v>89</v>
      </c>
      <c r="V329" s="6">
        <v>155</v>
      </c>
      <c r="W329" s="6">
        <v>79</v>
      </c>
      <c r="X329" s="6">
        <v>142</v>
      </c>
      <c r="Y329" s="6">
        <v>50</v>
      </c>
      <c r="Z329" s="6">
        <v>27</v>
      </c>
      <c r="AA329" s="6">
        <v>95</v>
      </c>
      <c r="AB329" s="6">
        <v>167</v>
      </c>
      <c r="AC329" s="6">
        <v>16</v>
      </c>
      <c r="AD329" s="6">
        <v>99</v>
      </c>
      <c r="AE329" s="6">
        <v>75</v>
      </c>
      <c r="AF329" s="6">
        <v>51</v>
      </c>
      <c r="AG329" s="6">
        <v>113</v>
      </c>
      <c r="AH329" s="6">
        <v>62</v>
      </c>
      <c r="AI329" s="6">
        <v>50</v>
      </c>
      <c r="AJ329" s="6">
        <v>100</v>
      </c>
      <c r="AK329" s="6">
        <v>19</v>
      </c>
      <c r="AL329" s="7">
        <v>4021</v>
      </c>
    </row>
    <row r="330" spans="1:38" ht="11.1" customHeight="1" x14ac:dyDescent="0.2">
      <c r="A330" s="4" t="s">
        <v>691</v>
      </c>
      <c r="B330" s="4" t="s">
        <v>692</v>
      </c>
      <c r="C330" s="4" t="s">
        <v>1507</v>
      </c>
      <c r="D330" s="4">
        <v>10</v>
      </c>
      <c r="E330" s="6">
        <v>69</v>
      </c>
      <c r="F330" s="6">
        <v>46</v>
      </c>
      <c r="G330" s="6">
        <v>53</v>
      </c>
      <c r="H330" s="6">
        <v>111</v>
      </c>
      <c r="I330" s="6">
        <v>309</v>
      </c>
      <c r="J330" s="6">
        <v>259</v>
      </c>
      <c r="K330" s="6">
        <v>79</v>
      </c>
      <c r="L330" s="6">
        <v>235</v>
      </c>
      <c r="M330" s="6">
        <v>144</v>
      </c>
      <c r="N330" s="6">
        <v>231</v>
      </c>
      <c r="O330" s="6">
        <v>183</v>
      </c>
      <c r="P330" s="6">
        <v>152</v>
      </c>
      <c r="Q330" s="6">
        <v>177</v>
      </c>
      <c r="R330" s="6">
        <v>124</v>
      </c>
      <c r="S330" s="6">
        <v>135</v>
      </c>
      <c r="T330" s="6">
        <v>81</v>
      </c>
      <c r="U330" s="6">
        <v>133</v>
      </c>
      <c r="V330" s="6">
        <v>95</v>
      </c>
      <c r="W330" s="6">
        <v>72</v>
      </c>
      <c r="X330" s="6">
        <v>144</v>
      </c>
      <c r="Y330" s="6">
        <v>132</v>
      </c>
      <c r="Z330" s="6">
        <v>66</v>
      </c>
      <c r="AA330" s="6">
        <v>74</v>
      </c>
      <c r="AB330" s="6">
        <v>92</v>
      </c>
      <c r="AC330" s="6">
        <v>35</v>
      </c>
      <c r="AD330" s="6">
        <v>22</v>
      </c>
      <c r="AE330" s="6">
        <v>53</v>
      </c>
      <c r="AF330" s="6">
        <v>55</v>
      </c>
      <c r="AG330" s="6">
        <v>47</v>
      </c>
      <c r="AH330" s="6">
        <v>56</v>
      </c>
      <c r="AI330" s="6">
        <v>33</v>
      </c>
      <c r="AJ330" s="6">
        <v>76</v>
      </c>
      <c r="AK330" s="6">
        <v>8</v>
      </c>
      <c r="AL330" s="7">
        <v>3581</v>
      </c>
    </row>
    <row r="331" spans="1:38" ht="11.1" customHeight="1" x14ac:dyDescent="0.2">
      <c r="A331" s="4" t="s">
        <v>693</v>
      </c>
      <c r="B331" s="4" t="s">
        <v>694</v>
      </c>
      <c r="C331" s="4" t="s">
        <v>1508</v>
      </c>
      <c r="D331" s="4">
        <v>5</v>
      </c>
      <c r="E331" s="5"/>
      <c r="F331" s="5"/>
      <c r="G331" s="5"/>
      <c r="H331" s="5"/>
      <c r="I331" s="6">
        <v>14</v>
      </c>
      <c r="J331" s="5"/>
      <c r="K331" s="5"/>
      <c r="L331" s="6">
        <v>27</v>
      </c>
      <c r="M331" s="6">
        <v>1</v>
      </c>
      <c r="N331" s="6">
        <v>1</v>
      </c>
      <c r="O331" s="5"/>
      <c r="P331" s="5"/>
      <c r="Q331" s="6">
        <v>4</v>
      </c>
      <c r="R331" s="5"/>
      <c r="S331" s="5"/>
      <c r="T331" s="5"/>
      <c r="U331" s="5"/>
      <c r="V331" s="5"/>
      <c r="W331" s="6">
        <v>6</v>
      </c>
      <c r="X331" s="5"/>
      <c r="Y331" s="5"/>
      <c r="Z331" s="6">
        <v>2</v>
      </c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6">
        <v>55</v>
      </c>
    </row>
    <row r="332" spans="1:38" ht="11.1" customHeight="1" x14ac:dyDescent="0.2">
      <c r="A332" s="4" t="s">
        <v>695</v>
      </c>
      <c r="B332" s="4" t="s">
        <v>696</v>
      </c>
      <c r="C332" s="4" t="s">
        <v>1509</v>
      </c>
      <c r="D332" s="4">
        <v>5</v>
      </c>
      <c r="E332" s="6">
        <v>22</v>
      </c>
      <c r="F332" s="6">
        <v>3</v>
      </c>
      <c r="G332" s="6">
        <v>37</v>
      </c>
      <c r="H332" s="6">
        <v>28</v>
      </c>
      <c r="I332" s="6">
        <v>32</v>
      </c>
      <c r="J332" s="6">
        <v>99</v>
      </c>
      <c r="K332" s="6">
        <v>14</v>
      </c>
      <c r="L332" s="6">
        <v>58</v>
      </c>
      <c r="M332" s="6">
        <v>21</v>
      </c>
      <c r="N332" s="6">
        <v>45</v>
      </c>
      <c r="O332" s="6">
        <v>28</v>
      </c>
      <c r="P332" s="6">
        <v>24</v>
      </c>
      <c r="Q332" s="6">
        <v>33</v>
      </c>
      <c r="R332" s="6">
        <v>42</v>
      </c>
      <c r="S332" s="6">
        <v>18</v>
      </c>
      <c r="T332" s="6">
        <v>24</v>
      </c>
      <c r="U332" s="6">
        <v>54</v>
      </c>
      <c r="V332" s="6">
        <v>17</v>
      </c>
      <c r="W332" s="6">
        <v>10</v>
      </c>
      <c r="X332" s="6">
        <v>14</v>
      </c>
      <c r="Y332" s="6">
        <v>3</v>
      </c>
      <c r="Z332" s="6">
        <v>4</v>
      </c>
      <c r="AA332" s="6">
        <v>21</v>
      </c>
      <c r="AB332" s="6">
        <v>9</v>
      </c>
      <c r="AC332" s="6">
        <v>15</v>
      </c>
      <c r="AD332" s="6">
        <v>-6</v>
      </c>
      <c r="AE332" s="6">
        <v>23</v>
      </c>
      <c r="AF332" s="6">
        <v>2</v>
      </c>
      <c r="AG332" s="6">
        <v>23</v>
      </c>
      <c r="AH332" s="6">
        <v>8</v>
      </c>
      <c r="AI332" s="6">
        <v>5</v>
      </c>
      <c r="AJ332" s="6">
        <v>23</v>
      </c>
      <c r="AK332" s="5"/>
      <c r="AL332" s="6">
        <v>753</v>
      </c>
    </row>
    <row r="333" spans="1:38" ht="23.1" customHeight="1" x14ac:dyDescent="0.2">
      <c r="A333" s="4" t="s">
        <v>697</v>
      </c>
      <c r="B333" s="4" t="s">
        <v>698</v>
      </c>
      <c r="C333" s="4" t="s">
        <v>1510</v>
      </c>
      <c r="D333" s="4">
        <v>5</v>
      </c>
      <c r="E333" s="5"/>
      <c r="F333" s="5"/>
      <c r="G333" s="5"/>
      <c r="H333" s="5"/>
      <c r="I333" s="6">
        <v>12</v>
      </c>
      <c r="J333" s="6">
        <v>112</v>
      </c>
      <c r="K333" s="6">
        <v>58</v>
      </c>
      <c r="L333" s="6">
        <v>58</v>
      </c>
      <c r="M333" s="6">
        <v>24</v>
      </c>
      <c r="N333" s="6">
        <v>60</v>
      </c>
      <c r="O333" s="6">
        <v>13</v>
      </c>
      <c r="P333" s="6">
        <v>26</v>
      </c>
      <c r="Q333" s="6">
        <v>72</v>
      </c>
      <c r="R333" s="6">
        <v>24</v>
      </c>
      <c r="S333" s="6">
        <v>9</v>
      </c>
      <c r="T333" s="6">
        <v>15</v>
      </c>
      <c r="U333" s="6">
        <v>13</v>
      </c>
      <c r="V333" s="6">
        <v>15</v>
      </c>
      <c r="W333" s="6">
        <v>8</v>
      </c>
      <c r="X333" s="6">
        <v>15</v>
      </c>
      <c r="Y333" s="6">
        <v>8</v>
      </c>
      <c r="Z333" s="6">
        <v>4</v>
      </c>
      <c r="AA333" s="6">
        <v>7</v>
      </c>
      <c r="AB333" s="6">
        <v>11</v>
      </c>
      <c r="AC333" s="6">
        <v>12</v>
      </c>
      <c r="AD333" s="6">
        <v>21</v>
      </c>
      <c r="AE333" s="6">
        <v>5</v>
      </c>
      <c r="AF333" s="6">
        <v>3</v>
      </c>
      <c r="AG333" s="6">
        <v>13</v>
      </c>
      <c r="AH333" s="6">
        <v>9</v>
      </c>
      <c r="AI333" s="6">
        <v>5</v>
      </c>
      <c r="AJ333" s="6">
        <v>7</v>
      </c>
      <c r="AK333" s="6">
        <v>2</v>
      </c>
      <c r="AL333" s="6">
        <v>641</v>
      </c>
    </row>
    <row r="334" spans="1:38" ht="11.1" customHeight="1" x14ac:dyDescent="0.2">
      <c r="A334" s="4" t="s">
        <v>699</v>
      </c>
      <c r="B334" s="4" t="s">
        <v>700</v>
      </c>
      <c r="C334" s="4" t="s">
        <v>1511</v>
      </c>
      <c r="D334" s="4">
        <v>6</v>
      </c>
      <c r="E334" s="6">
        <v>8</v>
      </c>
      <c r="F334" s="6">
        <v>1</v>
      </c>
      <c r="G334" s="6">
        <v>126</v>
      </c>
      <c r="H334" s="6">
        <v>172</v>
      </c>
      <c r="I334" s="6">
        <v>180</v>
      </c>
      <c r="J334" s="6">
        <v>150</v>
      </c>
      <c r="K334" s="6">
        <v>185</v>
      </c>
      <c r="L334" s="6">
        <v>138</v>
      </c>
      <c r="M334" s="6">
        <v>173</v>
      </c>
      <c r="N334" s="6">
        <v>121</v>
      </c>
      <c r="O334" s="6">
        <v>86</v>
      </c>
      <c r="P334" s="6">
        <v>69</v>
      </c>
      <c r="Q334" s="6">
        <v>13</v>
      </c>
      <c r="R334" s="6">
        <v>67</v>
      </c>
      <c r="S334" s="5"/>
      <c r="T334" s="6">
        <v>166</v>
      </c>
      <c r="U334" s="6">
        <v>34</v>
      </c>
      <c r="V334" s="6">
        <v>130</v>
      </c>
      <c r="W334" s="6">
        <v>118</v>
      </c>
      <c r="X334" s="6">
        <v>119</v>
      </c>
      <c r="Y334" s="6">
        <v>86</v>
      </c>
      <c r="Z334" s="6">
        <v>97</v>
      </c>
      <c r="AA334" s="6">
        <v>46</v>
      </c>
      <c r="AB334" s="6">
        <v>32</v>
      </c>
      <c r="AC334" s="6">
        <v>25</v>
      </c>
      <c r="AD334" s="6">
        <v>62</v>
      </c>
      <c r="AE334" s="6">
        <v>40</v>
      </c>
      <c r="AF334" s="6">
        <v>55</v>
      </c>
      <c r="AG334" s="6">
        <v>101</v>
      </c>
      <c r="AH334" s="6">
        <v>37</v>
      </c>
      <c r="AI334" s="6">
        <v>60</v>
      </c>
      <c r="AJ334" s="6">
        <v>119</v>
      </c>
      <c r="AK334" s="6">
        <v>30</v>
      </c>
      <c r="AL334" s="7">
        <v>2846</v>
      </c>
    </row>
    <row r="335" spans="1:38" ht="11.1" customHeight="1" x14ac:dyDescent="0.2">
      <c r="A335" s="4" t="s">
        <v>701</v>
      </c>
      <c r="B335" s="4" t="s">
        <v>702</v>
      </c>
      <c r="C335" s="4" t="s">
        <v>1512</v>
      </c>
      <c r="D335" s="4">
        <v>6</v>
      </c>
      <c r="E335" s="5"/>
      <c r="F335" s="6">
        <v>1</v>
      </c>
      <c r="G335" s="6">
        <v>149</v>
      </c>
      <c r="H335" s="6">
        <v>147</v>
      </c>
      <c r="I335" s="6">
        <v>358</v>
      </c>
      <c r="J335" s="6">
        <v>145</v>
      </c>
      <c r="K335" s="6">
        <v>183</v>
      </c>
      <c r="L335" s="6">
        <v>196</v>
      </c>
      <c r="M335" s="6">
        <v>246</v>
      </c>
      <c r="N335" s="6">
        <v>218</v>
      </c>
      <c r="O335" s="6">
        <v>170</v>
      </c>
      <c r="P335" s="6">
        <v>96</v>
      </c>
      <c r="Q335" s="6">
        <v>155</v>
      </c>
      <c r="R335" s="6">
        <v>185</v>
      </c>
      <c r="S335" s="6">
        <v>69</v>
      </c>
      <c r="T335" s="6">
        <v>157</v>
      </c>
      <c r="U335" s="6">
        <v>170</v>
      </c>
      <c r="V335" s="6">
        <v>201</v>
      </c>
      <c r="W335" s="6">
        <v>138</v>
      </c>
      <c r="X335" s="6">
        <v>104</v>
      </c>
      <c r="Y335" s="6">
        <v>96</v>
      </c>
      <c r="Z335" s="6">
        <v>158</v>
      </c>
      <c r="AA335" s="6">
        <v>59</v>
      </c>
      <c r="AB335" s="6">
        <v>120</v>
      </c>
      <c r="AC335" s="6">
        <v>29</v>
      </c>
      <c r="AD335" s="6">
        <v>102</v>
      </c>
      <c r="AE335" s="6">
        <v>101</v>
      </c>
      <c r="AF335" s="6">
        <v>109</v>
      </c>
      <c r="AG335" s="6">
        <v>40</v>
      </c>
      <c r="AH335" s="6">
        <v>46</v>
      </c>
      <c r="AI335" s="6">
        <v>167</v>
      </c>
      <c r="AJ335" s="6">
        <v>48</v>
      </c>
      <c r="AK335" s="6">
        <v>47</v>
      </c>
      <c r="AL335" s="7">
        <v>4210</v>
      </c>
    </row>
    <row r="336" spans="1:38" ht="11.1" customHeight="1" x14ac:dyDescent="0.2">
      <c r="A336" s="4" t="s">
        <v>703</v>
      </c>
      <c r="B336" s="4" t="s">
        <v>704</v>
      </c>
      <c r="C336" s="4" t="s">
        <v>1513</v>
      </c>
      <c r="D336" s="4">
        <v>5</v>
      </c>
      <c r="E336" s="5"/>
      <c r="F336" s="6">
        <v>4</v>
      </c>
      <c r="G336" s="6">
        <v>16</v>
      </c>
      <c r="H336" s="6">
        <v>21</v>
      </c>
      <c r="I336" s="6">
        <v>6</v>
      </c>
      <c r="J336" s="6">
        <v>20</v>
      </c>
      <c r="K336" s="6">
        <v>23</v>
      </c>
      <c r="L336" s="6">
        <v>78</v>
      </c>
      <c r="M336" s="6">
        <v>62</v>
      </c>
      <c r="N336" s="6">
        <v>29</v>
      </c>
      <c r="O336" s="6">
        <v>24</v>
      </c>
      <c r="P336" s="6">
        <v>-13</v>
      </c>
      <c r="Q336" s="6">
        <v>9</v>
      </c>
      <c r="R336" s="6">
        <v>56</v>
      </c>
      <c r="S336" s="6">
        <v>67</v>
      </c>
      <c r="T336" s="6">
        <v>13</v>
      </c>
      <c r="U336" s="6">
        <v>12</v>
      </c>
      <c r="V336" s="6">
        <v>52</v>
      </c>
      <c r="W336" s="6">
        <v>4</v>
      </c>
      <c r="X336" s="6">
        <v>12</v>
      </c>
      <c r="Y336" s="6">
        <v>22</v>
      </c>
      <c r="Z336" s="6">
        <v>42</v>
      </c>
      <c r="AA336" s="6">
        <v>20</v>
      </c>
      <c r="AB336" s="6">
        <v>7</v>
      </c>
      <c r="AC336" s="6">
        <v>14</v>
      </c>
      <c r="AD336" s="6">
        <v>2</v>
      </c>
      <c r="AE336" s="6">
        <v>67</v>
      </c>
      <c r="AF336" s="6">
        <v>3</v>
      </c>
      <c r="AG336" s="6">
        <v>25</v>
      </c>
      <c r="AH336" s="6">
        <v>29</v>
      </c>
      <c r="AI336" s="6">
        <v>1</v>
      </c>
      <c r="AJ336" s="6">
        <v>20</v>
      </c>
      <c r="AK336" s="6">
        <v>15</v>
      </c>
      <c r="AL336" s="6">
        <v>762</v>
      </c>
    </row>
    <row r="337" spans="1:38" ht="11.1" customHeight="1" x14ac:dyDescent="0.2">
      <c r="A337" s="4" t="s">
        <v>705</v>
      </c>
      <c r="B337" s="4" t="s">
        <v>706</v>
      </c>
      <c r="C337" s="4" t="s">
        <v>1514</v>
      </c>
      <c r="D337" s="4">
        <v>5</v>
      </c>
      <c r="E337" s="6">
        <v>19</v>
      </c>
      <c r="F337" s="6">
        <v>96</v>
      </c>
      <c r="G337" s="6">
        <v>757</v>
      </c>
      <c r="H337" s="6">
        <v>209</v>
      </c>
      <c r="I337" s="6">
        <v>72</v>
      </c>
      <c r="J337" s="6">
        <v>59</v>
      </c>
      <c r="K337" s="6">
        <v>107</v>
      </c>
      <c r="L337" s="6">
        <v>64</v>
      </c>
      <c r="M337" s="6">
        <v>182</v>
      </c>
      <c r="N337" s="6">
        <v>155</v>
      </c>
      <c r="O337" s="6">
        <v>195</v>
      </c>
      <c r="P337" s="6">
        <v>274</v>
      </c>
      <c r="Q337" s="6">
        <v>64</v>
      </c>
      <c r="R337" s="6">
        <v>54</v>
      </c>
      <c r="S337" s="6">
        <v>67</v>
      </c>
      <c r="T337" s="6">
        <v>253</v>
      </c>
      <c r="U337" s="6">
        <v>53</v>
      </c>
      <c r="V337" s="6">
        <v>89</v>
      </c>
      <c r="W337" s="6">
        <v>117</v>
      </c>
      <c r="X337" s="6">
        <v>93</v>
      </c>
      <c r="Y337" s="6">
        <v>51</v>
      </c>
      <c r="Z337" s="6">
        <v>105</v>
      </c>
      <c r="AA337" s="6">
        <v>33</v>
      </c>
      <c r="AB337" s="6">
        <v>268</v>
      </c>
      <c r="AC337" s="6">
        <v>22</v>
      </c>
      <c r="AD337" s="6">
        <v>112</v>
      </c>
      <c r="AE337" s="6">
        <v>68</v>
      </c>
      <c r="AF337" s="6">
        <v>4</v>
      </c>
      <c r="AG337" s="6">
        <v>80</v>
      </c>
      <c r="AH337" s="6">
        <v>12</v>
      </c>
      <c r="AI337" s="6">
        <v>5</v>
      </c>
      <c r="AJ337" s="6">
        <v>84</v>
      </c>
      <c r="AK337" s="6">
        <v>21</v>
      </c>
      <c r="AL337" s="7">
        <v>3844</v>
      </c>
    </row>
    <row r="338" spans="1:38" ht="11.1" customHeight="1" x14ac:dyDescent="0.2">
      <c r="A338" s="4" t="s">
        <v>707</v>
      </c>
      <c r="B338" s="4" t="s">
        <v>708</v>
      </c>
      <c r="C338" s="4" t="s">
        <v>1515</v>
      </c>
      <c r="D338" s="4">
        <v>5</v>
      </c>
      <c r="E338" s="6">
        <v>1</v>
      </c>
      <c r="F338" s="6">
        <v>63</v>
      </c>
      <c r="G338" s="6">
        <v>41</v>
      </c>
      <c r="H338" s="6">
        <v>44</v>
      </c>
      <c r="I338" s="6">
        <v>41</v>
      </c>
      <c r="J338" s="6">
        <v>20</v>
      </c>
      <c r="K338" s="6">
        <v>62</v>
      </c>
      <c r="L338" s="6">
        <v>11</v>
      </c>
      <c r="M338" s="6">
        <v>15</v>
      </c>
      <c r="N338" s="6">
        <v>16</v>
      </c>
      <c r="O338" s="6">
        <v>6</v>
      </c>
      <c r="P338" s="6">
        <v>5</v>
      </c>
      <c r="Q338" s="6">
        <v>19</v>
      </c>
      <c r="R338" s="6">
        <v>16</v>
      </c>
      <c r="S338" s="6">
        <v>7</v>
      </c>
      <c r="T338" s="6">
        <v>31</v>
      </c>
      <c r="U338" s="6">
        <v>7</v>
      </c>
      <c r="V338" s="6">
        <v>10</v>
      </c>
      <c r="W338" s="6">
        <v>13</v>
      </c>
      <c r="X338" s="6">
        <v>21</v>
      </c>
      <c r="Y338" s="6">
        <v>9</v>
      </c>
      <c r="Z338" s="6">
        <v>2</v>
      </c>
      <c r="AA338" s="6">
        <v>24</v>
      </c>
      <c r="AB338" s="6">
        <v>3</v>
      </c>
      <c r="AC338" s="6">
        <v>1</v>
      </c>
      <c r="AD338" s="6">
        <v>2</v>
      </c>
      <c r="AE338" s="6">
        <v>1</v>
      </c>
      <c r="AF338" s="6">
        <v>8</v>
      </c>
      <c r="AG338" s="5"/>
      <c r="AH338" s="5"/>
      <c r="AI338" s="6">
        <v>20</v>
      </c>
      <c r="AJ338" s="6">
        <v>15</v>
      </c>
      <c r="AK338" s="5"/>
      <c r="AL338" s="6">
        <v>534</v>
      </c>
    </row>
    <row r="339" spans="1:38" ht="11.1" customHeight="1" x14ac:dyDescent="0.2">
      <c r="A339" s="4" t="s">
        <v>709</v>
      </c>
      <c r="B339" s="4" t="s">
        <v>710</v>
      </c>
      <c r="C339" s="4" t="s">
        <v>1516</v>
      </c>
      <c r="D339" s="4">
        <v>5</v>
      </c>
      <c r="E339" s="6">
        <v>15</v>
      </c>
      <c r="F339" s="5"/>
      <c r="G339" s="5"/>
      <c r="H339" s="6">
        <v>3</v>
      </c>
      <c r="I339" s="5"/>
      <c r="J339" s="6">
        <v>1</v>
      </c>
      <c r="K339" s="5"/>
      <c r="L339" s="6">
        <v>12</v>
      </c>
      <c r="M339" s="6">
        <v>10</v>
      </c>
      <c r="N339" s="6">
        <v>20</v>
      </c>
      <c r="O339" s="6">
        <v>2</v>
      </c>
      <c r="P339" s="5"/>
      <c r="Q339" s="5"/>
      <c r="R339" s="6">
        <v>10</v>
      </c>
      <c r="S339" s="5"/>
      <c r="T339" s="5"/>
      <c r="U339" s="5"/>
      <c r="V339" s="6">
        <v>5</v>
      </c>
      <c r="W339" s="5"/>
      <c r="X339" s="5"/>
      <c r="Y339" s="5"/>
      <c r="Z339" s="6">
        <v>1</v>
      </c>
      <c r="AA339" s="5"/>
      <c r="AB339" s="5"/>
      <c r="AC339" s="6">
        <v>5</v>
      </c>
      <c r="AD339" s="5"/>
      <c r="AE339" s="5"/>
      <c r="AF339" s="5"/>
      <c r="AG339" s="5"/>
      <c r="AH339" s="5"/>
      <c r="AI339" s="5"/>
      <c r="AJ339" s="5"/>
      <c r="AK339" s="5"/>
      <c r="AL339" s="6">
        <v>84</v>
      </c>
    </row>
    <row r="340" spans="1:38" ht="11.1" customHeight="1" x14ac:dyDescent="0.2">
      <c r="A340" s="4" t="s">
        <v>711</v>
      </c>
      <c r="B340" s="4" t="s">
        <v>712</v>
      </c>
      <c r="C340" s="4" t="s">
        <v>1517</v>
      </c>
      <c r="D340" s="4">
        <v>20</v>
      </c>
      <c r="E340" s="6">
        <v>497</v>
      </c>
      <c r="F340" s="6">
        <v>400</v>
      </c>
      <c r="G340" s="7">
        <v>1451</v>
      </c>
      <c r="H340" s="7">
        <v>2473</v>
      </c>
      <c r="I340" s="7">
        <v>2909</v>
      </c>
      <c r="J340" s="7">
        <v>3099</v>
      </c>
      <c r="K340" s="7">
        <v>1800</v>
      </c>
      <c r="L340" s="7">
        <v>1701</v>
      </c>
      <c r="M340" s="7">
        <v>1734</v>
      </c>
      <c r="N340" s="7">
        <v>2072</v>
      </c>
      <c r="O340" s="7">
        <v>2315</v>
      </c>
      <c r="P340" s="7">
        <v>1591</v>
      </c>
      <c r="Q340" s="7">
        <v>1524</v>
      </c>
      <c r="R340" s="7">
        <v>1177</v>
      </c>
      <c r="S340" s="7">
        <v>1311</v>
      </c>
      <c r="T340" s="7">
        <v>1172</v>
      </c>
      <c r="U340" s="7">
        <v>1177</v>
      </c>
      <c r="V340" s="7">
        <v>1237</v>
      </c>
      <c r="W340" s="7">
        <v>1052</v>
      </c>
      <c r="X340" s="7">
        <v>1128</v>
      </c>
      <c r="Y340" s="6">
        <v>967</v>
      </c>
      <c r="Z340" s="6">
        <v>568</v>
      </c>
      <c r="AA340" s="7">
        <v>1074</v>
      </c>
      <c r="AB340" s="7">
        <v>1429</v>
      </c>
      <c r="AC340" s="6">
        <v>455</v>
      </c>
      <c r="AD340" s="6">
        <v>747</v>
      </c>
      <c r="AE340" s="6">
        <v>634</v>
      </c>
      <c r="AF340" s="6">
        <v>502</v>
      </c>
      <c r="AG340" s="6">
        <v>651</v>
      </c>
      <c r="AH340" s="6">
        <v>546</v>
      </c>
      <c r="AI340" s="6">
        <v>866</v>
      </c>
      <c r="AJ340" s="6">
        <v>627</v>
      </c>
      <c r="AK340" s="6">
        <v>499</v>
      </c>
      <c r="AL340" s="7">
        <v>41385</v>
      </c>
    </row>
    <row r="341" spans="1:38" ht="11.1" customHeight="1" x14ac:dyDescent="0.2">
      <c r="A341" s="4" t="s">
        <v>713</v>
      </c>
      <c r="B341" s="4" t="s">
        <v>714</v>
      </c>
      <c r="C341" s="4" t="s">
        <v>1518</v>
      </c>
      <c r="D341" s="4">
        <v>10</v>
      </c>
      <c r="E341" s="6">
        <v>306</v>
      </c>
      <c r="F341" s="6">
        <v>163</v>
      </c>
      <c r="G341" s="6">
        <v>658</v>
      </c>
      <c r="H341" s="6">
        <v>898</v>
      </c>
      <c r="I341" s="6">
        <v>986</v>
      </c>
      <c r="J341" s="7">
        <v>1593</v>
      </c>
      <c r="K341" s="6">
        <v>781</v>
      </c>
      <c r="L341" s="7">
        <v>1265</v>
      </c>
      <c r="M341" s="7">
        <v>1290</v>
      </c>
      <c r="N341" s="7">
        <v>1058</v>
      </c>
      <c r="O341" s="7">
        <v>1114</v>
      </c>
      <c r="P341" s="6">
        <v>865</v>
      </c>
      <c r="Q341" s="6">
        <v>691</v>
      </c>
      <c r="R341" s="6">
        <v>684</v>
      </c>
      <c r="S341" s="6">
        <v>567</v>
      </c>
      <c r="T341" s="6">
        <v>526</v>
      </c>
      <c r="U341" s="6">
        <v>768</v>
      </c>
      <c r="V341" s="6">
        <v>396</v>
      </c>
      <c r="W341" s="6">
        <v>481</v>
      </c>
      <c r="X341" s="6">
        <v>675</v>
      </c>
      <c r="Y341" s="6">
        <v>667</v>
      </c>
      <c r="Z341" s="6">
        <v>362</v>
      </c>
      <c r="AA341" s="6">
        <v>457</v>
      </c>
      <c r="AB341" s="6">
        <v>600</v>
      </c>
      <c r="AC341" s="6">
        <v>365</v>
      </c>
      <c r="AD341" s="6">
        <v>552</v>
      </c>
      <c r="AE341" s="6">
        <v>403</v>
      </c>
      <c r="AF341" s="6">
        <v>361</v>
      </c>
      <c r="AG341" s="6">
        <v>485</v>
      </c>
      <c r="AH341" s="6">
        <v>216</v>
      </c>
      <c r="AI341" s="6">
        <v>359</v>
      </c>
      <c r="AJ341" s="6">
        <v>411</v>
      </c>
      <c r="AK341" s="6">
        <v>213</v>
      </c>
      <c r="AL341" s="7">
        <v>21216</v>
      </c>
    </row>
    <row r="342" spans="1:38" ht="11.1" customHeight="1" x14ac:dyDescent="0.2">
      <c r="A342" s="4" t="s">
        <v>715</v>
      </c>
      <c r="B342" s="4" t="s">
        <v>716</v>
      </c>
      <c r="C342" s="4" t="s">
        <v>1519</v>
      </c>
      <c r="D342" s="4">
        <v>5</v>
      </c>
      <c r="E342" s="6">
        <v>156</v>
      </c>
      <c r="F342" s="6">
        <v>61</v>
      </c>
      <c r="G342" s="6">
        <v>352</v>
      </c>
      <c r="H342" s="6">
        <v>417</v>
      </c>
      <c r="I342" s="6">
        <v>426</v>
      </c>
      <c r="J342" s="6">
        <v>735</v>
      </c>
      <c r="K342" s="6">
        <v>331</v>
      </c>
      <c r="L342" s="6">
        <v>600</v>
      </c>
      <c r="M342" s="6">
        <v>425</v>
      </c>
      <c r="N342" s="6">
        <v>507</v>
      </c>
      <c r="O342" s="6">
        <v>614</v>
      </c>
      <c r="P342" s="6">
        <v>412</v>
      </c>
      <c r="Q342" s="6">
        <v>362</v>
      </c>
      <c r="R342" s="6">
        <v>305</v>
      </c>
      <c r="S342" s="6">
        <v>307</v>
      </c>
      <c r="T342" s="6">
        <v>226</v>
      </c>
      <c r="U342" s="6">
        <v>290</v>
      </c>
      <c r="V342" s="6">
        <v>156</v>
      </c>
      <c r="W342" s="6">
        <v>257</v>
      </c>
      <c r="X342" s="6">
        <v>245</v>
      </c>
      <c r="Y342" s="6">
        <v>213</v>
      </c>
      <c r="Z342" s="6">
        <v>181</v>
      </c>
      <c r="AA342" s="6">
        <v>169</v>
      </c>
      <c r="AB342" s="6">
        <v>272</v>
      </c>
      <c r="AC342" s="6">
        <v>127</v>
      </c>
      <c r="AD342" s="6">
        <v>127</v>
      </c>
      <c r="AE342" s="6">
        <v>155</v>
      </c>
      <c r="AF342" s="6">
        <v>174</v>
      </c>
      <c r="AG342" s="6">
        <v>197</v>
      </c>
      <c r="AH342" s="6">
        <v>186</v>
      </c>
      <c r="AI342" s="6">
        <v>204</v>
      </c>
      <c r="AJ342" s="6">
        <v>123</v>
      </c>
      <c r="AK342" s="6">
        <v>45</v>
      </c>
      <c r="AL342" s="7">
        <v>9357</v>
      </c>
    </row>
    <row r="343" spans="1:38" ht="11.1" customHeight="1" x14ac:dyDescent="0.2">
      <c r="A343" s="4" t="s">
        <v>717</v>
      </c>
      <c r="B343" s="4" t="s">
        <v>718</v>
      </c>
      <c r="C343" s="4" t="s">
        <v>1520</v>
      </c>
      <c r="D343" s="4">
        <v>5</v>
      </c>
      <c r="E343" s="6">
        <v>3</v>
      </c>
      <c r="F343" s="6">
        <v>4</v>
      </c>
      <c r="G343" s="6">
        <v>151</v>
      </c>
      <c r="H343" s="6">
        <v>218</v>
      </c>
      <c r="I343" s="6">
        <v>153</v>
      </c>
      <c r="J343" s="6">
        <v>359</v>
      </c>
      <c r="K343" s="6">
        <v>129</v>
      </c>
      <c r="L343" s="6">
        <v>299</v>
      </c>
      <c r="M343" s="6">
        <v>194</v>
      </c>
      <c r="N343" s="6">
        <v>171</v>
      </c>
      <c r="O343" s="6">
        <v>257</v>
      </c>
      <c r="P343" s="6">
        <v>174</v>
      </c>
      <c r="Q343" s="6">
        <v>89</v>
      </c>
      <c r="R343" s="6">
        <v>118</v>
      </c>
      <c r="S343" s="6">
        <v>120</v>
      </c>
      <c r="T343" s="6">
        <v>79</v>
      </c>
      <c r="U343" s="6">
        <v>51</v>
      </c>
      <c r="V343" s="6">
        <v>90</v>
      </c>
      <c r="W343" s="6">
        <v>60</v>
      </c>
      <c r="X343" s="6">
        <v>138</v>
      </c>
      <c r="Y343" s="6">
        <v>152</v>
      </c>
      <c r="Z343" s="6">
        <v>145</v>
      </c>
      <c r="AA343" s="6">
        <v>50</v>
      </c>
      <c r="AB343" s="6">
        <v>54</v>
      </c>
      <c r="AC343" s="6">
        <v>33</v>
      </c>
      <c r="AD343" s="6">
        <v>97</v>
      </c>
      <c r="AE343" s="6">
        <v>30</v>
      </c>
      <c r="AF343" s="6">
        <v>46</v>
      </c>
      <c r="AG343" s="6">
        <v>95</v>
      </c>
      <c r="AH343" s="6">
        <v>26</v>
      </c>
      <c r="AI343" s="6">
        <v>256</v>
      </c>
      <c r="AJ343" s="6">
        <v>101</v>
      </c>
      <c r="AK343" s="6">
        <v>37</v>
      </c>
      <c r="AL343" s="7">
        <v>3979</v>
      </c>
    </row>
    <row r="344" spans="1:38" ht="11.1" customHeight="1" x14ac:dyDescent="0.2">
      <c r="A344" s="4" t="s">
        <v>719</v>
      </c>
      <c r="B344" s="4" t="s">
        <v>720</v>
      </c>
      <c r="C344" s="4" t="s">
        <v>1521</v>
      </c>
      <c r="D344" s="4">
        <v>5</v>
      </c>
      <c r="E344" s="6">
        <v>36</v>
      </c>
      <c r="F344" s="5"/>
      <c r="G344" s="6">
        <v>9</v>
      </c>
      <c r="H344" s="6">
        <v>39</v>
      </c>
      <c r="I344" s="6">
        <v>54</v>
      </c>
      <c r="J344" s="6">
        <v>83</v>
      </c>
      <c r="K344" s="6">
        <v>34</v>
      </c>
      <c r="L344" s="6">
        <v>47</v>
      </c>
      <c r="M344" s="6">
        <v>45</v>
      </c>
      <c r="N344" s="6">
        <v>49</v>
      </c>
      <c r="O344" s="6">
        <v>54</v>
      </c>
      <c r="P344" s="6">
        <v>18</v>
      </c>
      <c r="Q344" s="6">
        <v>33</v>
      </c>
      <c r="R344" s="6">
        <v>23</v>
      </c>
      <c r="S344" s="6">
        <v>41</v>
      </c>
      <c r="T344" s="6">
        <v>28</v>
      </c>
      <c r="U344" s="6">
        <v>13</v>
      </c>
      <c r="V344" s="6">
        <v>15</v>
      </c>
      <c r="W344" s="6">
        <v>11</v>
      </c>
      <c r="X344" s="6">
        <v>45</v>
      </c>
      <c r="Y344" s="6">
        <v>6</v>
      </c>
      <c r="Z344" s="6">
        <v>14</v>
      </c>
      <c r="AA344" s="6">
        <v>31</v>
      </c>
      <c r="AB344" s="6">
        <v>31</v>
      </c>
      <c r="AC344" s="6">
        <v>2</v>
      </c>
      <c r="AD344" s="6">
        <v>16</v>
      </c>
      <c r="AE344" s="6">
        <v>13</v>
      </c>
      <c r="AF344" s="6">
        <v>32</v>
      </c>
      <c r="AG344" s="6">
        <v>17</v>
      </c>
      <c r="AH344" s="6">
        <v>7</v>
      </c>
      <c r="AI344" s="6">
        <v>43</v>
      </c>
      <c r="AJ344" s="6">
        <v>18</v>
      </c>
      <c r="AK344" s="6">
        <v>8</v>
      </c>
      <c r="AL344" s="6">
        <v>915</v>
      </c>
    </row>
    <row r="345" spans="1:38" ht="11.1" customHeight="1" x14ac:dyDescent="0.2">
      <c r="A345" s="4" t="s">
        <v>721</v>
      </c>
      <c r="B345" s="4" t="s">
        <v>722</v>
      </c>
      <c r="C345" s="4" t="s">
        <v>1522</v>
      </c>
      <c r="D345" s="4">
        <v>5</v>
      </c>
      <c r="E345" s="6">
        <v>48</v>
      </c>
      <c r="F345" s="6">
        <v>47</v>
      </c>
      <c r="G345" s="6">
        <v>72</v>
      </c>
      <c r="H345" s="6">
        <v>138</v>
      </c>
      <c r="I345" s="6">
        <v>280</v>
      </c>
      <c r="J345" s="6">
        <v>232</v>
      </c>
      <c r="K345" s="6">
        <v>108</v>
      </c>
      <c r="L345" s="6">
        <v>197</v>
      </c>
      <c r="M345" s="6">
        <v>109</v>
      </c>
      <c r="N345" s="6">
        <v>120</v>
      </c>
      <c r="O345" s="6">
        <v>160</v>
      </c>
      <c r="P345" s="6">
        <v>190</v>
      </c>
      <c r="Q345" s="6">
        <v>95</v>
      </c>
      <c r="R345" s="6">
        <v>127</v>
      </c>
      <c r="S345" s="6">
        <v>196</v>
      </c>
      <c r="T345" s="6">
        <v>74</v>
      </c>
      <c r="U345" s="6">
        <v>78</v>
      </c>
      <c r="V345" s="6">
        <v>72</v>
      </c>
      <c r="W345" s="6">
        <v>75</v>
      </c>
      <c r="X345" s="6">
        <v>108</v>
      </c>
      <c r="Y345" s="6">
        <v>106</v>
      </c>
      <c r="Z345" s="6">
        <v>41</v>
      </c>
      <c r="AA345" s="6">
        <v>44</v>
      </c>
      <c r="AB345" s="6">
        <v>54</v>
      </c>
      <c r="AC345" s="6">
        <v>53</v>
      </c>
      <c r="AD345" s="6">
        <v>50</v>
      </c>
      <c r="AE345" s="6">
        <v>51</v>
      </c>
      <c r="AF345" s="6">
        <v>49</v>
      </c>
      <c r="AG345" s="6">
        <v>32</v>
      </c>
      <c r="AH345" s="6">
        <v>70</v>
      </c>
      <c r="AI345" s="6">
        <v>14</v>
      </c>
      <c r="AJ345" s="6">
        <v>78</v>
      </c>
      <c r="AK345" s="6">
        <v>18</v>
      </c>
      <c r="AL345" s="7">
        <v>3186</v>
      </c>
    </row>
    <row r="346" spans="1:38" ht="23.1" customHeight="1" x14ac:dyDescent="0.2">
      <c r="A346" s="4" t="s">
        <v>723</v>
      </c>
      <c r="B346" s="4" t="s">
        <v>724</v>
      </c>
      <c r="C346" s="4" t="s">
        <v>1523</v>
      </c>
      <c r="D346" s="4">
        <v>1</v>
      </c>
      <c r="E346" s="5"/>
      <c r="F346" s="5"/>
      <c r="G346" s="5"/>
      <c r="H346" s="5"/>
      <c r="I346" s="6">
        <v>1</v>
      </c>
      <c r="J346" s="6">
        <v>1</v>
      </c>
      <c r="K346" s="6">
        <v>1</v>
      </c>
      <c r="L346" s="6">
        <v>3</v>
      </c>
      <c r="M346" s="6">
        <v>21</v>
      </c>
      <c r="N346" s="6">
        <v>3</v>
      </c>
      <c r="O346" s="6">
        <v>-1</v>
      </c>
      <c r="P346" s="6">
        <v>1</v>
      </c>
      <c r="Q346" s="6">
        <v>4</v>
      </c>
      <c r="R346" s="5"/>
      <c r="S346" s="6">
        <v>19</v>
      </c>
      <c r="T346" s="6">
        <v>4</v>
      </c>
      <c r="U346" s="5"/>
      <c r="V346" s="5"/>
      <c r="W346" s="5"/>
      <c r="X346" s="5"/>
      <c r="Y346" s="5"/>
      <c r="Z346" s="6">
        <v>1</v>
      </c>
      <c r="AA346" s="6">
        <v>10</v>
      </c>
      <c r="AB346" s="6">
        <v>4</v>
      </c>
      <c r="AC346" s="5"/>
      <c r="AD346" s="5"/>
      <c r="AE346" s="5"/>
      <c r="AF346" s="5"/>
      <c r="AG346" s="5"/>
      <c r="AH346" s="5"/>
      <c r="AI346" s="5"/>
      <c r="AJ346" s="5"/>
      <c r="AK346" s="5"/>
      <c r="AL346" s="6">
        <v>72</v>
      </c>
    </row>
    <row r="347" spans="1:38" ht="11.1" customHeight="1" x14ac:dyDescent="0.2">
      <c r="A347" s="4" t="s">
        <v>725</v>
      </c>
      <c r="B347" s="4" t="s">
        <v>726</v>
      </c>
      <c r="C347" s="4" t="s">
        <v>1524</v>
      </c>
      <c r="D347" s="4">
        <v>5</v>
      </c>
      <c r="E347" s="5"/>
      <c r="F347" s="5"/>
      <c r="G347" s="5"/>
      <c r="H347" s="5"/>
      <c r="I347" s="5"/>
      <c r="J347" s="5"/>
      <c r="K347" s="5"/>
      <c r="L347" s="5"/>
      <c r="M347" s="6">
        <v>1</v>
      </c>
      <c r="N347" s="6">
        <v>4</v>
      </c>
      <c r="O347" s="6">
        <v>7</v>
      </c>
      <c r="P347" s="5"/>
      <c r="Q347" s="5"/>
      <c r="R347" s="6">
        <v>1</v>
      </c>
      <c r="S347" s="5"/>
      <c r="T347" s="5"/>
      <c r="U347" s="5"/>
      <c r="V347" s="6">
        <v>1</v>
      </c>
      <c r="W347" s="5"/>
      <c r="X347" s="5"/>
      <c r="Y347" s="5"/>
      <c r="Z347" s="5"/>
      <c r="AA347" s="6">
        <v>6</v>
      </c>
      <c r="AB347" s="6">
        <v>3</v>
      </c>
      <c r="AC347" s="5"/>
      <c r="AD347" s="5"/>
      <c r="AE347" s="6">
        <v>4</v>
      </c>
      <c r="AF347" s="5"/>
      <c r="AG347" s="5"/>
      <c r="AH347" s="5"/>
      <c r="AI347" s="5"/>
      <c r="AJ347" s="6">
        <v>1</v>
      </c>
      <c r="AK347" s="5"/>
      <c r="AL347" s="6">
        <v>28</v>
      </c>
    </row>
    <row r="348" spans="1:38" ht="23.1" customHeight="1" x14ac:dyDescent="0.2">
      <c r="A348" s="4" t="s">
        <v>727</v>
      </c>
      <c r="B348" s="4" t="s">
        <v>728</v>
      </c>
      <c r="C348" s="4" t="s">
        <v>1525</v>
      </c>
      <c r="D348" s="4">
        <v>10</v>
      </c>
      <c r="E348" s="5"/>
      <c r="F348" s="5"/>
      <c r="G348" s="5"/>
      <c r="H348" s="5"/>
      <c r="I348" s="6">
        <v>8</v>
      </c>
      <c r="J348" s="6">
        <v>247</v>
      </c>
      <c r="K348" s="6">
        <v>24</v>
      </c>
      <c r="L348" s="6">
        <v>105</v>
      </c>
      <c r="M348" s="6">
        <v>31</v>
      </c>
      <c r="N348" s="6">
        <v>38</v>
      </c>
      <c r="O348" s="6">
        <v>40</v>
      </c>
      <c r="P348" s="6">
        <v>38</v>
      </c>
      <c r="Q348" s="6">
        <v>19</v>
      </c>
      <c r="R348" s="6">
        <v>38</v>
      </c>
      <c r="S348" s="6">
        <v>32</v>
      </c>
      <c r="T348" s="6">
        <v>34</v>
      </c>
      <c r="U348" s="6">
        <v>38</v>
      </c>
      <c r="V348" s="6">
        <v>29</v>
      </c>
      <c r="W348" s="6">
        <v>7</v>
      </c>
      <c r="X348" s="6">
        <v>79</v>
      </c>
      <c r="Y348" s="6">
        <v>42</v>
      </c>
      <c r="Z348" s="6">
        <v>50</v>
      </c>
      <c r="AA348" s="6">
        <v>47</v>
      </c>
      <c r="AB348" s="6">
        <v>69</v>
      </c>
      <c r="AC348" s="6">
        <v>19</v>
      </c>
      <c r="AD348" s="6">
        <v>18</v>
      </c>
      <c r="AE348" s="6">
        <v>22</v>
      </c>
      <c r="AF348" s="6">
        <v>14</v>
      </c>
      <c r="AG348" s="6">
        <v>42</v>
      </c>
      <c r="AH348" s="6">
        <v>11</v>
      </c>
      <c r="AI348" s="6">
        <v>15</v>
      </c>
      <c r="AJ348" s="6">
        <v>6</v>
      </c>
      <c r="AK348" s="6">
        <v>9</v>
      </c>
      <c r="AL348" s="7">
        <v>1171</v>
      </c>
    </row>
    <row r="349" spans="1:38" ht="11.1" customHeight="1" x14ac:dyDescent="0.2">
      <c r="A349" s="4" t="s">
        <v>729</v>
      </c>
      <c r="B349" s="4" t="s">
        <v>730</v>
      </c>
      <c r="C349" s="4" t="s">
        <v>1526</v>
      </c>
      <c r="D349" s="4">
        <v>10</v>
      </c>
      <c r="E349" s="5"/>
      <c r="F349" s="5"/>
      <c r="G349" s="5"/>
      <c r="H349" s="5"/>
      <c r="I349" s="5"/>
      <c r="J349" s="6">
        <v>2</v>
      </c>
      <c r="K349" s="6">
        <v>10</v>
      </c>
      <c r="L349" s="6">
        <v>10</v>
      </c>
      <c r="M349" s="5"/>
      <c r="N349" s="6">
        <v>7</v>
      </c>
      <c r="O349" s="6">
        <v>21</v>
      </c>
      <c r="P349" s="6">
        <v>3</v>
      </c>
      <c r="Q349" s="6">
        <v>9</v>
      </c>
      <c r="R349" s="6">
        <v>8</v>
      </c>
      <c r="S349" s="5"/>
      <c r="T349" s="6">
        <v>4</v>
      </c>
      <c r="U349" s="6">
        <v>4</v>
      </c>
      <c r="V349" s="6">
        <v>9</v>
      </c>
      <c r="W349" s="5"/>
      <c r="X349" s="6">
        <v>25</v>
      </c>
      <c r="Y349" s="6">
        <v>20</v>
      </c>
      <c r="Z349" s="6">
        <v>26</v>
      </c>
      <c r="AA349" s="6">
        <v>7</v>
      </c>
      <c r="AB349" s="6">
        <v>12</v>
      </c>
      <c r="AC349" s="5"/>
      <c r="AD349" s="5"/>
      <c r="AE349" s="6">
        <v>3</v>
      </c>
      <c r="AF349" s="5"/>
      <c r="AG349" s="6">
        <v>5</v>
      </c>
      <c r="AH349" s="6">
        <v>4</v>
      </c>
      <c r="AI349" s="6">
        <v>5</v>
      </c>
      <c r="AJ349" s="6">
        <v>4</v>
      </c>
      <c r="AK349" s="5"/>
      <c r="AL349" s="6">
        <v>198</v>
      </c>
    </row>
    <row r="350" spans="1:38" ht="11.1" customHeight="1" x14ac:dyDescent="0.2">
      <c r="A350" s="4" t="s">
        <v>731</v>
      </c>
      <c r="B350" s="4" t="s">
        <v>732</v>
      </c>
      <c r="C350" s="4" t="s">
        <v>1527</v>
      </c>
      <c r="D350" s="4">
        <v>5</v>
      </c>
      <c r="E350" s="5"/>
      <c r="F350" s="5"/>
      <c r="G350" s="5"/>
      <c r="H350" s="5"/>
      <c r="I350" s="5"/>
      <c r="J350" s="5"/>
      <c r="K350" s="6">
        <v>1</v>
      </c>
      <c r="L350" s="6">
        <v>1</v>
      </c>
      <c r="M350" s="6">
        <v>1</v>
      </c>
      <c r="N350" s="6">
        <v>1</v>
      </c>
      <c r="O350" s="6">
        <v>3</v>
      </c>
      <c r="P350" s="6">
        <v>2</v>
      </c>
      <c r="Q350" s="5"/>
      <c r="R350" s="6">
        <v>3</v>
      </c>
      <c r="S350" s="6">
        <v>2</v>
      </c>
      <c r="T350" s="6">
        <v>-2</v>
      </c>
      <c r="U350" s="5"/>
      <c r="V350" s="6">
        <v>3</v>
      </c>
      <c r="W350" s="5"/>
      <c r="X350" s="6">
        <v>16</v>
      </c>
      <c r="Y350" s="6">
        <v>7</v>
      </c>
      <c r="Z350" s="5"/>
      <c r="AA350" s="6">
        <v>9</v>
      </c>
      <c r="AB350" s="5"/>
      <c r="AC350" s="6">
        <v>1</v>
      </c>
      <c r="AD350" s="5"/>
      <c r="AE350" s="6">
        <v>12</v>
      </c>
      <c r="AF350" s="6">
        <v>7</v>
      </c>
      <c r="AG350" s="6">
        <v>1</v>
      </c>
      <c r="AH350" s="5"/>
      <c r="AI350" s="5"/>
      <c r="AJ350" s="6">
        <v>5</v>
      </c>
      <c r="AK350" s="5"/>
      <c r="AL350" s="6">
        <v>73</v>
      </c>
    </row>
    <row r="351" spans="1:38" ht="11.1" customHeight="1" x14ac:dyDescent="0.2">
      <c r="A351" s="4" t="s">
        <v>733</v>
      </c>
      <c r="B351" s="4" t="s">
        <v>734</v>
      </c>
      <c r="C351" s="4" t="s">
        <v>1528</v>
      </c>
      <c r="D351" s="4">
        <v>90</v>
      </c>
      <c r="E351" s="5"/>
      <c r="F351" s="5"/>
      <c r="G351" s="6">
        <v>30</v>
      </c>
      <c r="H351" s="6">
        <v>4</v>
      </c>
      <c r="I351" s="5"/>
      <c r="J351" s="5"/>
      <c r="K351" s="5"/>
      <c r="L351" s="6">
        <v>27</v>
      </c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6">
        <v>20</v>
      </c>
      <c r="X351" s="5"/>
      <c r="Y351" s="5"/>
      <c r="Z351" s="6">
        <v>5</v>
      </c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6">
        <v>86</v>
      </c>
    </row>
    <row r="352" spans="1:38" ht="11.1" customHeight="1" x14ac:dyDescent="0.2">
      <c r="A352" s="4" t="s">
        <v>735</v>
      </c>
      <c r="B352" s="4" t="s">
        <v>736</v>
      </c>
      <c r="C352" s="4" t="s">
        <v>1529</v>
      </c>
      <c r="D352" s="4">
        <v>60</v>
      </c>
      <c r="E352" s="6">
        <v>1</v>
      </c>
      <c r="F352" s="5"/>
      <c r="G352" s="6">
        <v>4</v>
      </c>
      <c r="H352" s="5"/>
      <c r="I352" s="6">
        <v>3</v>
      </c>
      <c r="J352" s="6">
        <v>2</v>
      </c>
      <c r="K352" s="5"/>
      <c r="L352" s="5"/>
      <c r="M352" s="6">
        <v>3</v>
      </c>
      <c r="N352" s="6">
        <v>1</v>
      </c>
      <c r="O352" s="5"/>
      <c r="P352" s="5"/>
      <c r="Q352" s="5"/>
      <c r="R352" s="5"/>
      <c r="S352" s="5"/>
      <c r="T352" s="5"/>
      <c r="U352" s="5"/>
      <c r="V352" s="6">
        <v>2</v>
      </c>
      <c r="W352" s="5"/>
      <c r="X352" s="5"/>
      <c r="Y352" s="5"/>
      <c r="Z352" s="6">
        <v>6</v>
      </c>
      <c r="AA352" s="6">
        <v>2</v>
      </c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6">
        <v>24</v>
      </c>
    </row>
    <row r="353" spans="1:38" ht="11.1" customHeight="1" x14ac:dyDescent="0.2">
      <c r="A353" s="4" t="s">
        <v>737</v>
      </c>
      <c r="B353" s="4" t="s">
        <v>738</v>
      </c>
      <c r="C353" s="4" t="s">
        <v>1530</v>
      </c>
      <c r="D353" s="4">
        <v>15</v>
      </c>
      <c r="E353" s="6">
        <v>3</v>
      </c>
      <c r="F353" s="5"/>
      <c r="G353" s="6">
        <v>1</v>
      </c>
      <c r="H353" s="5"/>
      <c r="I353" s="6">
        <v>9</v>
      </c>
      <c r="J353" s="6">
        <v>26</v>
      </c>
      <c r="K353" s="5"/>
      <c r="L353" s="5"/>
      <c r="M353" s="6">
        <v>2</v>
      </c>
      <c r="N353" s="5"/>
      <c r="O353" s="5"/>
      <c r="P353" s="5"/>
      <c r="Q353" s="5"/>
      <c r="R353" s="6">
        <v>1</v>
      </c>
      <c r="S353" s="5"/>
      <c r="T353" s="5"/>
      <c r="U353" s="5"/>
      <c r="V353" s="6">
        <v>1</v>
      </c>
      <c r="W353" s="5"/>
      <c r="X353" s="5"/>
      <c r="Y353" s="5"/>
      <c r="Z353" s="5"/>
      <c r="AA353" s="6">
        <v>2</v>
      </c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6">
        <v>45</v>
      </c>
    </row>
    <row r="354" spans="1:38" ht="11.1" customHeight="1" x14ac:dyDescent="0.2">
      <c r="A354" s="4" t="s">
        <v>739</v>
      </c>
      <c r="B354" s="4" t="s">
        <v>740</v>
      </c>
      <c r="C354" s="4" t="s">
        <v>1531</v>
      </c>
      <c r="D354" s="4">
        <v>15</v>
      </c>
      <c r="E354" s="6">
        <v>3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6">
        <v>3</v>
      </c>
    </row>
    <row r="355" spans="1:38" ht="11.1" customHeight="1" x14ac:dyDescent="0.2">
      <c r="A355" s="4" t="s">
        <v>741</v>
      </c>
      <c r="B355" s="4" t="s">
        <v>742</v>
      </c>
      <c r="C355" s="4" t="s">
        <v>1178</v>
      </c>
      <c r="D355" s="4">
        <v>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6">
        <v>8</v>
      </c>
      <c r="X355" s="6">
        <v>26</v>
      </c>
      <c r="Y355" s="6">
        <v>67</v>
      </c>
      <c r="Z355" s="5"/>
      <c r="AA355" s="5"/>
      <c r="AB355" s="6">
        <v>8</v>
      </c>
      <c r="AC355" s="5"/>
      <c r="AD355" s="5"/>
      <c r="AE355" s="5"/>
      <c r="AF355" s="6">
        <v>1</v>
      </c>
      <c r="AG355" s="5"/>
      <c r="AH355" s="5"/>
      <c r="AI355" s="5"/>
      <c r="AJ355" s="5"/>
      <c r="AK355" s="5"/>
      <c r="AL355" s="6">
        <v>110</v>
      </c>
    </row>
    <row r="356" spans="1:38" ht="11.1" customHeight="1" x14ac:dyDescent="0.2">
      <c r="A356" s="4" t="s">
        <v>743</v>
      </c>
      <c r="B356" s="4" t="s">
        <v>744</v>
      </c>
      <c r="C356" s="4" t="s">
        <v>1179</v>
      </c>
      <c r="D356" s="4">
        <v>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6">
        <v>2</v>
      </c>
      <c r="X356" s="6">
        <v>35</v>
      </c>
      <c r="Y356" s="6">
        <v>47</v>
      </c>
      <c r="Z356" s="6">
        <v>27</v>
      </c>
      <c r="AA356" s="6">
        <v>34</v>
      </c>
      <c r="AB356" s="6">
        <v>39</v>
      </c>
      <c r="AC356" s="6">
        <v>6</v>
      </c>
      <c r="AD356" s="5"/>
      <c r="AE356" s="5"/>
      <c r="AF356" s="5"/>
      <c r="AG356" s="5"/>
      <c r="AH356" s="5"/>
      <c r="AI356" s="5"/>
      <c r="AJ356" s="5"/>
      <c r="AK356" s="5"/>
      <c r="AL356" s="6">
        <v>190</v>
      </c>
    </row>
    <row r="357" spans="1:38" ht="11.1" customHeight="1" x14ac:dyDescent="0.2">
      <c r="A357" s="4" t="s">
        <v>745</v>
      </c>
      <c r="B357" s="4" t="s">
        <v>746</v>
      </c>
      <c r="C357" s="4" t="s">
        <v>1532</v>
      </c>
      <c r="D357" s="4">
        <v>0</v>
      </c>
      <c r="E357" s="6">
        <v>3</v>
      </c>
      <c r="F357" s="6">
        <v>8</v>
      </c>
      <c r="G357" s="6">
        <v>7</v>
      </c>
      <c r="H357" s="6">
        <v>2</v>
      </c>
      <c r="I357" s="6">
        <v>3</v>
      </c>
      <c r="J357" s="6">
        <v>2</v>
      </c>
      <c r="K357" s="5"/>
      <c r="L357" s="5"/>
      <c r="M357" s="5"/>
      <c r="N357" s="5"/>
      <c r="O357" s="5"/>
      <c r="P357" s="6">
        <v>1</v>
      </c>
      <c r="Q357" s="5"/>
      <c r="R357" s="5"/>
      <c r="S357" s="5"/>
      <c r="T357" s="6">
        <v>4</v>
      </c>
      <c r="U357" s="5"/>
      <c r="V357" s="5"/>
      <c r="W357" s="5"/>
      <c r="X357" s="5"/>
      <c r="Y357" s="6">
        <v>18</v>
      </c>
      <c r="Z357" s="6">
        <v>11</v>
      </c>
      <c r="AA357" s="6">
        <v>2</v>
      </c>
      <c r="AB357" s="6">
        <v>11</v>
      </c>
      <c r="AC357" s="6">
        <v>11</v>
      </c>
      <c r="AD357" s="6">
        <v>2</v>
      </c>
      <c r="AE357" s="6">
        <v>5</v>
      </c>
      <c r="AF357" s="6">
        <v>4</v>
      </c>
      <c r="AG357" s="5"/>
      <c r="AH357" s="6">
        <v>31</v>
      </c>
      <c r="AI357" s="6">
        <v>9</v>
      </c>
      <c r="AJ357" s="6">
        <v>17</v>
      </c>
      <c r="AK357" s="6">
        <v>44</v>
      </c>
      <c r="AL357" s="6">
        <v>195</v>
      </c>
    </row>
    <row r="358" spans="1:38" ht="11.1" customHeight="1" x14ac:dyDescent="0.2">
      <c r="A358" s="4" t="s">
        <v>747</v>
      </c>
      <c r="B358" s="4" t="s">
        <v>748</v>
      </c>
      <c r="C358" s="4" t="s">
        <v>1533</v>
      </c>
      <c r="D358" s="4">
        <v>0</v>
      </c>
      <c r="E358" s="6">
        <v>6</v>
      </c>
      <c r="F358" s="6">
        <v>3</v>
      </c>
      <c r="G358" s="6">
        <v>3</v>
      </c>
      <c r="H358" s="6">
        <v>1</v>
      </c>
      <c r="I358" s="6">
        <v>7</v>
      </c>
      <c r="J358" s="6">
        <v>3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6">
        <v>2</v>
      </c>
      <c r="Z358" s="6">
        <v>1</v>
      </c>
      <c r="AA358" s="6">
        <v>2</v>
      </c>
      <c r="AB358" s="5"/>
      <c r="AC358" s="5"/>
      <c r="AD358" s="5"/>
      <c r="AE358" s="5"/>
      <c r="AF358" s="5"/>
      <c r="AG358" s="5"/>
      <c r="AH358" s="6">
        <v>43</v>
      </c>
      <c r="AI358" s="5"/>
      <c r="AJ358" s="5"/>
      <c r="AK358" s="6">
        <v>5</v>
      </c>
      <c r="AL358" s="6">
        <v>76</v>
      </c>
    </row>
    <row r="359" spans="1:38" ht="11.1" customHeight="1" x14ac:dyDescent="0.2">
      <c r="A359" s="4" t="s">
        <v>749</v>
      </c>
      <c r="B359" s="4" t="s">
        <v>750</v>
      </c>
      <c r="C359" s="4" t="s">
        <v>1534</v>
      </c>
      <c r="D359" s="4">
        <v>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6">
        <v>2</v>
      </c>
      <c r="V359" s="6">
        <v>-2</v>
      </c>
      <c r="W359" s="6">
        <v>6</v>
      </c>
      <c r="X359" s="5"/>
      <c r="Y359" s="5"/>
      <c r="Z359" s="6">
        <v>4</v>
      </c>
      <c r="AA359" s="6">
        <v>-4</v>
      </c>
      <c r="AB359" s="5"/>
      <c r="AC359" s="5"/>
      <c r="AD359" s="5"/>
      <c r="AE359" s="5"/>
      <c r="AF359" s="6">
        <v>1</v>
      </c>
      <c r="AG359" s="5"/>
      <c r="AH359" s="5"/>
      <c r="AI359" s="5"/>
      <c r="AJ359" s="5"/>
      <c r="AK359" s="5"/>
      <c r="AL359" s="6">
        <v>7</v>
      </c>
    </row>
    <row r="360" spans="1:38" ht="11.1" customHeight="1" x14ac:dyDescent="0.2">
      <c r="A360" s="4" t="s">
        <v>751</v>
      </c>
      <c r="B360" s="4" t="s">
        <v>752</v>
      </c>
      <c r="C360" s="4" t="s">
        <v>1180</v>
      </c>
      <c r="D360" s="4">
        <v>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6">
        <v>6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6">
        <v>6</v>
      </c>
    </row>
    <row r="361" spans="1:38" ht="11.1" customHeight="1" x14ac:dyDescent="0.2">
      <c r="A361" s="4" t="s">
        <v>753</v>
      </c>
      <c r="B361" s="4" t="s">
        <v>754</v>
      </c>
      <c r="C361" s="4" t="s">
        <v>1535</v>
      </c>
      <c r="D361" s="4">
        <v>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>
        <v>4</v>
      </c>
      <c r="U361" s="5"/>
      <c r="V361" s="5"/>
      <c r="W361" s="6">
        <v>15</v>
      </c>
      <c r="X361" s="6">
        <v>8</v>
      </c>
      <c r="Y361" s="6">
        <v>1</v>
      </c>
      <c r="Z361" s="6">
        <v>3</v>
      </c>
      <c r="AA361" s="6">
        <v>3</v>
      </c>
      <c r="AB361" s="6">
        <v>1</v>
      </c>
      <c r="AC361" s="6">
        <v>4</v>
      </c>
      <c r="AD361" s="5"/>
      <c r="AE361" s="6">
        <v>3</v>
      </c>
      <c r="AF361" s="6">
        <v>9</v>
      </c>
      <c r="AG361" s="6">
        <v>6</v>
      </c>
      <c r="AH361" s="6">
        <v>47</v>
      </c>
      <c r="AI361" s="6">
        <v>5</v>
      </c>
      <c r="AJ361" s="6">
        <v>10</v>
      </c>
      <c r="AK361" s="5"/>
      <c r="AL361" s="6">
        <v>119</v>
      </c>
    </row>
    <row r="362" spans="1:38" ht="11.1" customHeight="1" x14ac:dyDescent="0.2">
      <c r="A362" s="4" t="s">
        <v>755</v>
      </c>
      <c r="B362" s="4" t="s">
        <v>756</v>
      </c>
      <c r="C362" s="4" t="s">
        <v>1181</v>
      </c>
      <c r="D362" s="4">
        <v>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6">
        <v>1</v>
      </c>
      <c r="X362" s="6">
        <v>14</v>
      </c>
      <c r="Y362" s="6">
        <v>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6">
        <v>20</v>
      </c>
    </row>
    <row r="363" spans="1:38" ht="11.1" customHeight="1" x14ac:dyDescent="0.2">
      <c r="A363" s="4" t="s">
        <v>757</v>
      </c>
      <c r="B363" s="4" t="s">
        <v>758</v>
      </c>
      <c r="C363" s="4" t="s">
        <v>1536</v>
      </c>
      <c r="D363" s="4">
        <v>20</v>
      </c>
      <c r="E363" s="6">
        <v>165</v>
      </c>
      <c r="F363" s="6">
        <v>60</v>
      </c>
      <c r="G363" s="6">
        <v>133</v>
      </c>
      <c r="H363" s="6">
        <v>536</v>
      </c>
      <c r="I363" s="6">
        <v>693</v>
      </c>
      <c r="J363" s="6">
        <v>42</v>
      </c>
      <c r="K363" s="6">
        <v>43</v>
      </c>
      <c r="L363" s="6">
        <v>70</v>
      </c>
      <c r="M363" s="6">
        <v>24</v>
      </c>
      <c r="N363" s="6">
        <v>479</v>
      </c>
      <c r="O363" s="6">
        <v>21</v>
      </c>
      <c r="P363" s="6">
        <v>64</v>
      </c>
      <c r="Q363" s="6">
        <v>66</v>
      </c>
      <c r="R363" s="6">
        <v>83</v>
      </c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7">
        <v>2479</v>
      </c>
    </row>
    <row r="364" spans="1:38" ht="11.1" customHeight="1" x14ac:dyDescent="0.2">
      <c r="A364" s="4" t="s">
        <v>759</v>
      </c>
      <c r="B364" s="4" t="s">
        <v>760</v>
      </c>
      <c r="C364" s="4" t="s">
        <v>1537</v>
      </c>
      <c r="D364" s="4">
        <v>20</v>
      </c>
      <c r="E364" s="6">
        <v>16</v>
      </c>
      <c r="F364" s="6">
        <v>30</v>
      </c>
      <c r="G364" s="6">
        <v>35</v>
      </c>
      <c r="H364" s="6">
        <v>438</v>
      </c>
      <c r="I364" s="6">
        <v>208</v>
      </c>
      <c r="J364" s="6">
        <v>40</v>
      </c>
      <c r="K364" s="6">
        <v>33</v>
      </c>
      <c r="L364" s="6">
        <v>25</v>
      </c>
      <c r="M364" s="6">
        <v>27</v>
      </c>
      <c r="N364" s="6">
        <v>343</v>
      </c>
      <c r="O364" s="6">
        <v>25</v>
      </c>
      <c r="P364" s="5"/>
      <c r="Q364" s="6">
        <v>74</v>
      </c>
      <c r="R364" s="6">
        <v>49</v>
      </c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7">
        <v>1343</v>
      </c>
    </row>
    <row r="365" spans="1:38" ht="11.1" customHeight="1" x14ac:dyDescent="0.2">
      <c r="A365" s="4" t="s">
        <v>761</v>
      </c>
      <c r="B365" s="4" t="s">
        <v>762</v>
      </c>
      <c r="C365" s="4" t="s">
        <v>1538</v>
      </c>
      <c r="D365" s="4">
        <v>20</v>
      </c>
      <c r="E365" s="6">
        <v>79</v>
      </c>
      <c r="F365" s="6">
        <v>38</v>
      </c>
      <c r="G365" s="6">
        <v>41</v>
      </c>
      <c r="H365" s="6">
        <v>37</v>
      </c>
      <c r="I365" s="6">
        <v>46</v>
      </c>
      <c r="J365" s="6">
        <v>22</v>
      </c>
      <c r="K365" s="6">
        <v>20</v>
      </c>
      <c r="L365" s="6">
        <v>40</v>
      </c>
      <c r="M365" s="5"/>
      <c r="N365" s="6">
        <v>46</v>
      </c>
      <c r="O365" s="6">
        <v>60</v>
      </c>
      <c r="P365" s="6">
        <v>80</v>
      </c>
      <c r="Q365" s="6">
        <v>20</v>
      </c>
      <c r="R365" s="6">
        <v>10</v>
      </c>
      <c r="S365" s="6">
        <v>20</v>
      </c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6">
        <v>559</v>
      </c>
    </row>
    <row r="366" spans="1:38" ht="11.1" customHeight="1" x14ac:dyDescent="0.2">
      <c r="A366" s="4" t="s">
        <v>763</v>
      </c>
      <c r="B366" s="4" t="s">
        <v>764</v>
      </c>
      <c r="C366" s="4" t="s">
        <v>1539</v>
      </c>
      <c r="D366" s="4">
        <v>20</v>
      </c>
      <c r="E366" s="6">
        <v>44</v>
      </c>
      <c r="F366" s="6">
        <v>48</v>
      </c>
      <c r="G366" s="6">
        <v>124</v>
      </c>
      <c r="H366" s="6">
        <v>968</v>
      </c>
      <c r="I366" s="7">
        <v>1457</v>
      </c>
      <c r="J366" s="6">
        <v>206</v>
      </c>
      <c r="K366" s="6">
        <v>13</v>
      </c>
      <c r="L366" s="6">
        <v>30</v>
      </c>
      <c r="M366" s="6">
        <v>91</v>
      </c>
      <c r="N366" s="7">
        <v>1324</v>
      </c>
      <c r="O366" s="6">
        <v>20</v>
      </c>
      <c r="P366" s="6">
        <v>40</v>
      </c>
      <c r="Q366" s="6">
        <v>22</v>
      </c>
      <c r="R366" s="6">
        <v>131</v>
      </c>
      <c r="S366" s="6">
        <v>30</v>
      </c>
      <c r="T366" s="6">
        <v>842</v>
      </c>
      <c r="U366" s="5"/>
      <c r="V366" s="5"/>
      <c r="W366" s="5"/>
      <c r="X366" s="5"/>
      <c r="Y366" s="5"/>
      <c r="Z366" s="5"/>
      <c r="AA366" s="5"/>
      <c r="AB366" s="5"/>
      <c r="AC366" s="5"/>
      <c r="AD366" s="6">
        <v>10</v>
      </c>
      <c r="AE366" s="5"/>
      <c r="AF366" s="5"/>
      <c r="AG366" s="5"/>
      <c r="AH366" s="5"/>
      <c r="AI366" s="5"/>
      <c r="AJ366" s="5"/>
      <c r="AK366" s="5"/>
      <c r="AL366" s="7">
        <v>5400</v>
      </c>
    </row>
    <row r="367" spans="1:38" ht="11.1" customHeight="1" x14ac:dyDescent="0.2">
      <c r="A367" s="4" t="s">
        <v>765</v>
      </c>
      <c r="B367" s="4" t="s">
        <v>766</v>
      </c>
      <c r="C367" s="4" t="s">
        <v>1540</v>
      </c>
      <c r="D367" s="4">
        <v>10</v>
      </c>
      <c r="E367" s="6">
        <v>137</v>
      </c>
      <c r="F367" s="6">
        <v>295</v>
      </c>
      <c r="G367" s="6">
        <v>338</v>
      </c>
      <c r="H367" s="6">
        <v>128</v>
      </c>
      <c r="I367" s="6">
        <v>119</v>
      </c>
      <c r="J367" s="6">
        <v>53</v>
      </c>
      <c r="K367" s="6">
        <v>170</v>
      </c>
      <c r="L367" s="6">
        <v>150</v>
      </c>
      <c r="M367" s="6">
        <v>170</v>
      </c>
      <c r="N367" s="6">
        <v>100</v>
      </c>
      <c r="O367" s="6">
        <v>210</v>
      </c>
      <c r="P367" s="6">
        <v>60</v>
      </c>
      <c r="Q367" s="6">
        <v>170</v>
      </c>
      <c r="R367" s="6">
        <v>50</v>
      </c>
      <c r="S367" s="6">
        <v>150</v>
      </c>
      <c r="T367" s="5"/>
      <c r="U367" s="5"/>
      <c r="V367" s="5"/>
      <c r="W367" s="5"/>
      <c r="X367" s="5"/>
      <c r="Y367" s="5"/>
      <c r="Z367" s="6">
        <v>50</v>
      </c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7">
        <v>2350</v>
      </c>
    </row>
    <row r="368" spans="1:38" ht="11.1" customHeight="1" x14ac:dyDescent="0.2">
      <c r="A368" s="4" t="s">
        <v>767</v>
      </c>
      <c r="B368" s="4" t="s">
        <v>768</v>
      </c>
      <c r="C368" s="4" t="s">
        <v>1541</v>
      </c>
      <c r="D368" s="4">
        <v>10</v>
      </c>
      <c r="E368" s="6">
        <v>159</v>
      </c>
      <c r="F368" s="6">
        <v>165</v>
      </c>
      <c r="G368" s="6">
        <v>112</v>
      </c>
      <c r="H368" s="6">
        <v>787</v>
      </c>
      <c r="I368" s="6">
        <v>740</v>
      </c>
      <c r="J368" s="6">
        <v>50</v>
      </c>
      <c r="K368" s="6">
        <v>25</v>
      </c>
      <c r="L368" s="6">
        <v>11</v>
      </c>
      <c r="M368" s="6">
        <v>26</v>
      </c>
      <c r="N368" s="6">
        <v>183</v>
      </c>
      <c r="O368" s="6">
        <v>11</v>
      </c>
      <c r="P368" s="6">
        <v>65</v>
      </c>
      <c r="Q368" s="6">
        <v>110</v>
      </c>
      <c r="R368" s="6">
        <v>164</v>
      </c>
      <c r="S368" s="5"/>
      <c r="T368" s="6">
        <v>10</v>
      </c>
      <c r="U368" s="5"/>
      <c r="V368" s="5"/>
      <c r="W368" s="5"/>
      <c r="X368" s="5"/>
      <c r="Y368" s="5"/>
      <c r="Z368" s="5"/>
      <c r="AA368" s="5"/>
      <c r="AB368" s="5"/>
      <c r="AC368" s="6">
        <v>2</v>
      </c>
      <c r="AD368" s="5"/>
      <c r="AE368" s="6">
        <v>15</v>
      </c>
      <c r="AF368" s="5"/>
      <c r="AG368" s="5"/>
      <c r="AH368" s="5"/>
      <c r="AI368" s="5"/>
      <c r="AJ368" s="5"/>
      <c r="AK368" s="5"/>
      <c r="AL368" s="7">
        <v>2635</v>
      </c>
    </row>
    <row r="369" spans="1:38" ht="11.1" customHeight="1" x14ac:dyDescent="0.2">
      <c r="A369" s="4" t="s">
        <v>769</v>
      </c>
      <c r="B369" s="4" t="s">
        <v>770</v>
      </c>
      <c r="C369" s="4" t="s">
        <v>1542</v>
      </c>
      <c r="D369" s="4">
        <v>25</v>
      </c>
      <c r="E369" s="6">
        <v>62</v>
      </c>
      <c r="F369" s="6">
        <v>56</v>
      </c>
      <c r="G369" s="6">
        <v>48</v>
      </c>
      <c r="H369" s="6">
        <v>75</v>
      </c>
      <c r="I369" s="6">
        <v>100</v>
      </c>
      <c r="J369" s="6">
        <v>57</v>
      </c>
      <c r="K369" s="6">
        <v>157</v>
      </c>
      <c r="L369" s="6">
        <v>217</v>
      </c>
      <c r="M369" s="6">
        <v>149</v>
      </c>
      <c r="N369" s="6">
        <v>161</v>
      </c>
      <c r="O369" s="6">
        <v>145</v>
      </c>
      <c r="P369" s="6">
        <v>35</v>
      </c>
      <c r="Q369" s="6">
        <v>188</v>
      </c>
      <c r="R369" s="6">
        <v>88</v>
      </c>
      <c r="S369" s="6">
        <v>51</v>
      </c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7">
        <v>1589</v>
      </c>
    </row>
    <row r="370" spans="1:38" ht="11.1" customHeight="1" x14ac:dyDescent="0.2">
      <c r="A370" s="4" t="s">
        <v>771</v>
      </c>
      <c r="B370" s="4" t="s">
        <v>772</v>
      </c>
      <c r="C370" s="4" t="s">
        <v>1543</v>
      </c>
      <c r="D370" s="4">
        <v>25</v>
      </c>
      <c r="E370" s="6">
        <v>12</v>
      </c>
      <c r="F370" s="6">
        <v>29</v>
      </c>
      <c r="G370" s="6">
        <v>36</v>
      </c>
      <c r="H370" s="6">
        <v>29</v>
      </c>
      <c r="I370" s="6">
        <v>12</v>
      </c>
      <c r="J370" s="5"/>
      <c r="K370" s="6">
        <v>26</v>
      </c>
      <c r="L370" s="6">
        <v>25</v>
      </c>
      <c r="M370" s="6">
        <v>21</v>
      </c>
      <c r="N370" s="6">
        <v>19</v>
      </c>
      <c r="O370" s="6">
        <v>74</v>
      </c>
      <c r="P370" s="6">
        <v>15</v>
      </c>
      <c r="Q370" s="6">
        <v>12</v>
      </c>
      <c r="R370" s="5"/>
      <c r="S370" s="6">
        <v>15</v>
      </c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6">
        <v>325</v>
      </c>
    </row>
    <row r="371" spans="1:38" ht="11.1" customHeight="1" x14ac:dyDescent="0.2">
      <c r="A371" s="4" t="s">
        <v>773</v>
      </c>
      <c r="B371" s="4" t="s">
        <v>774</v>
      </c>
      <c r="C371" s="4" t="s">
        <v>1544</v>
      </c>
      <c r="D371" s="4">
        <v>25</v>
      </c>
      <c r="E371" s="6">
        <v>201</v>
      </c>
      <c r="F371" s="6">
        <v>19</v>
      </c>
      <c r="G371" s="6">
        <v>33</v>
      </c>
      <c r="H371" s="6">
        <v>6</v>
      </c>
      <c r="I371" s="6">
        <v>15</v>
      </c>
      <c r="J371" s="6">
        <v>40</v>
      </c>
      <c r="K371" s="6">
        <v>32</v>
      </c>
      <c r="L371" s="6">
        <v>28</v>
      </c>
      <c r="M371" s="6">
        <v>6</v>
      </c>
      <c r="N371" s="6">
        <v>32</v>
      </c>
      <c r="O371" s="6">
        <v>35</v>
      </c>
      <c r="P371" s="5"/>
      <c r="Q371" s="6">
        <v>32</v>
      </c>
      <c r="R371" s="6">
        <v>43</v>
      </c>
      <c r="S371" s="6">
        <v>84</v>
      </c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6">
        <v>606</v>
      </c>
    </row>
    <row r="372" spans="1:38" ht="11.1" customHeight="1" x14ac:dyDescent="0.2">
      <c r="A372" s="4" t="s">
        <v>775</v>
      </c>
      <c r="B372" s="4" t="s">
        <v>776</v>
      </c>
      <c r="C372" s="4" t="s">
        <v>1545</v>
      </c>
      <c r="D372" s="4">
        <v>17</v>
      </c>
      <c r="E372" s="6">
        <v>416</v>
      </c>
      <c r="F372" s="6">
        <v>189</v>
      </c>
      <c r="G372" s="6">
        <v>57</v>
      </c>
      <c r="H372" s="6">
        <v>324</v>
      </c>
      <c r="I372" s="6">
        <v>394</v>
      </c>
      <c r="J372" s="6">
        <v>-217</v>
      </c>
      <c r="K372" s="6">
        <v>201</v>
      </c>
      <c r="L372" s="6">
        <v>160</v>
      </c>
      <c r="M372" s="6">
        <v>98</v>
      </c>
      <c r="N372" s="6">
        <v>88</v>
      </c>
      <c r="O372" s="6">
        <v>69</v>
      </c>
      <c r="P372" s="5"/>
      <c r="Q372" s="6">
        <v>77</v>
      </c>
      <c r="R372" s="6">
        <v>184</v>
      </c>
      <c r="S372" s="6">
        <v>111</v>
      </c>
      <c r="T372" s="6">
        <v>3</v>
      </c>
      <c r="U372" s="6">
        <v>82</v>
      </c>
      <c r="V372" s="5"/>
      <c r="W372" s="5"/>
      <c r="X372" s="5"/>
      <c r="Y372" s="5"/>
      <c r="Z372" s="5"/>
      <c r="AA372" s="5"/>
      <c r="AB372" s="5"/>
      <c r="AC372" s="5"/>
      <c r="AD372" s="6">
        <v>20</v>
      </c>
      <c r="AE372" s="6">
        <v>32</v>
      </c>
      <c r="AF372" s="5"/>
      <c r="AG372" s="5"/>
      <c r="AH372" s="5"/>
      <c r="AI372" s="5"/>
      <c r="AJ372" s="5"/>
      <c r="AK372" s="5"/>
      <c r="AL372" s="7">
        <v>2288</v>
      </c>
    </row>
    <row r="373" spans="1:38" ht="11.1" customHeight="1" x14ac:dyDescent="0.2">
      <c r="A373" s="4" t="s">
        <v>777</v>
      </c>
      <c r="B373" s="4" t="s">
        <v>778</v>
      </c>
      <c r="C373" s="4" t="s">
        <v>1546</v>
      </c>
      <c r="D373" s="4">
        <v>16</v>
      </c>
      <c r="E373" s="6">
        <v>109</v>
      </c>
      <c r="F373" s="6">
        <v>102</v>
      </c>
      <c r="G373" s="6">
        <v>55</v>
      </c>
      <c r="H373" s="6">
        <v>12</v>
      </c>
      <c r="I373" s="6">
        <v>58</v>
      </c>
      <c r="J373" s="6">
        <v>52</v>
      </c>
      <c r="K373" s="6">
        <v>120</v>
      </c>
      <c r="L373" s="6">
        <v>282</v>
      </c>
      <c r="M373" s="6">
        <v>90</v>
      </c>
      <c r="N373" s="6">
        <v>48</v>
      </c>
      <c r="O373" s="6">
        <v>137</v>
      </c>
      <c r="P373" s="6">
        <v>42</v>
      </c>
      <c r="Q373" s="6">
        <v>227</v>
      </c>
      <c r="R373" s="6">
        <v>95</v>
      </c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7">
        <v>1429</v>
      </c>
    </row>
    <row r="374" spans="1:38" ht="11.1" customHeight="1" x14ac:dyDescent="0.2">
      <c r="A374" s="4" t="s">
        <v>779</v>
      </c>
      <c r="B374" s="4" t="s">
        <v>780</v>
      </c>
      <c r="C374" s="4" t="s">
        <v>1547</v>
      </c>
      <c r="D374" s="4">
        <v>16</v>
      </c>
      <c r="E374" s="6">
        <v>316</v>
      </c>
      <c r="F374" s="6">
        <v>268</v>
      </c>
      <c r="G374" s="6">
        <v>458</v>
      </c>
      <c r="H374" s="6">
        <v>232</v>
      </c>
      <c r="I374" s="6">
        <v>313</v>
      </c>
      <c r="J374" s="6">
        <v>79</v>
      </c>
      <c r="K374" s="6">
        <v>418</v>
      </c>
      <c r="L374" s="6">
        <v>85</v>
      </c>
      <c r="M374" s="6">
        <v>371</v>
      </c>
      <c r="N374" s="6">
        <v>130</v>
      </c>
      <c r="O374" s="6">
        <v>234</v>
      </c>
      <c r="P374" s="6">
        <v>95</v>
      </c>
      <c r="Q374" s="6">
        <v>356</v>
      </c>
      <c r="R374" s="6">
        <v>93</v>
      </c>
      <c r="S374" s="6">
        <v>15</v>
      </c>
      <c r="T374" s="5"/>
      <c r="U374" s="6">
        <v>16</v>
      </c>
      <c r="V374" s="5"/>
      <c r="W374" s="5"/>
      <c r="X374" s="5"/>
      <c r="Y374" s="5"/>
      <c r="Z374" s="5"/>
      <c r="AA374" s="5"/>
      <c r="AB374" s="5"/>
      <c r="AC374" s="6">
        <v>1</v>
      </c>
      <c r="AD374" s="6">
        <v>10</v>
      </c>
      <c r="AE374" s="6">
        <v>5</v>
      </c>
      <c r="AF374" s="5"/>
      <c r="AG374" s="5"/>
      <c r="AH374" s="5"/>
      <c r="AI374" s="5"/>
      <c r="AJ374" s="5"/>
      <c r="AK374" s="5"/>
      <c r="AL374" s="7">
        <v>3495</v>
      </c>
    </row>
    <row r="375" spans="1:38" ht="11.1" customHeight="1" x14ac:dyDescent="0.2">
      <c r="A375" s="4" t="s">
        <v>781</v>
      </c>
      <c r="B375" s="4" t="s">
        <v>782</v>
      </c>
      <c r="C375" s="4" t="s">
        <v>1548</v>
      </c>
      <c r="D375" s="4">
        <v>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>
        <v>1</v>
      </c>
      <c r="R375" s="5"/>
      <c r="S375" s="5"/>
      <c r="T375" s="5"/>
      <c r="U375" s="5"/>
      <c r="V375" s="5"/>
      <c r="W375" s="5"/>
      <c r="X375" s="5"/>
      <c r="Y375" s="5"/>
      <c r="Z375" s="6">
        <v>1</v>
      </c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6">
        <v>2</v>
      </c>
    </row>
    <row r="376" spans="1:38" ht="11.1" customHeight="1" x14ac:dyDescent="0.2">
      <c r="A376" s="4" t="s">
        <v>783</v>
      </c>
      <c r="B376" s="4" t="s">
        <v>784</v>
      </c>
      <c r="C376" s="4" t="s">
        <v>1549</v>
      </c>
      <c r="D376" s="4">
        <v>0</v>
      </c>
      <c r="E376" s="6">
        <v>237</v>
      </c>
      <c r="F376" s="6">
        <v>217</v>
      </c>
      <c r="G376" s="6">
        <v>42</v>
      </c>
      <c r="H376" s="6">
        <v>1</v>
      </c>
      <c r="I376" s="5"/>
      <c r="J376" s="5"/>
      <c r="K376" s="5"/>
      <c r="L376" s="5"/>
      <c r="M376" s="6">
        <v>1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6">
        <v>1</v>
      </c>
      <c r="AH376" s="5"/>
      <c r="AI376" s="5"/>
      <c r="AJ376" s="5"/>
      <c r="AK376" s="5"/>
      <c r="AL376" s="6">
        <v>499</v>
      </c>
    </row>
    <row r="377" spans="1:38" ht="11.1" customHeight="1" x14ac:dyDescent="0.2">
      <c r="A377" s="4" t="s">
        <v>785</v>
      </c>
      <c r="B377" s="4" t="s">
        <v>786</v>
      </c>
      <c r="C377" s="4" t="s">
        <v>1550</v>
      </c>
      <c r="D377" s="4">
        <v>0</v>
      </c>
      <c r="E377" s="6">
        <v>1</v>
      </c>
      <c r="F377" s="6">
        <v>62</v>
      </c>
      <c r="G377" s="6">
        <v>6</v>
      </c>
      <c r="H377" s="5"/>
      <c r="I377" s="5"/>
      <c r="J377" s="5"/>
      <c r="K377" s="5"/>
      <c r="L377" s="5"/>
      <c r="M377" s="6">
        <v>1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6">
        <v>70</v>
      </c>
    </row>
    <row r="378" spans="1:38" ht="11.1" customHeight="1" x14ac:dyDescent="0.2">
      <c r="A378" s="4" t="s">
        <v>787</v>
      </c>
      <c r="B378" s="4" t="s">
        <v>788</v>
      </c>
      <c r="C378" s="4" t="s">
        <v>1551</v>
      </c>
      <c r="D378" s="4">
        <v>0</v>
      </c>
      <c r="E378" s="6">
        <v>8</v>
      </c>
      <c r="F378" s="6">
        <v>4</v>
      </c>
      <c r="G378" s="6">
        <v>5</v>
      </c>
      <c r="H378" s="5"/>
      <c r="I378" s="6">
        <v>19</v>
      </c>
      <c r="J378" s="5"/>
      <c r="K378" s="5"/>
      <c r="L378" s="6">
        <v>1</v>
      </c>
      <c r="M378" s="5"/>
      <c r="N378" s="6">
        <v>45</v>
      </c>
      <c r="O378" s="5"/>
      <c r="P378" s="5"/>
      <c r="Q378" s="5"/>
      <c r="R378" s="5"/>
      <c r="S378" s="5"/>
      <c r="T378" s="5"/>
      <c r="U378" s="5"/>
      <c r="V378" s="6">
        <v>17</v>
      </c>
      <c r="W378" s="6">
        <v>5</v>
      </c>
      <c r="X378" s="5"/>
      <c r="Y378" s="6">
        <v>6</v>
      </c>
      <c r="Z378" s="5"/>
      <c r="AA378" s="6">
        <v>1</v>
      </c>
      <c r="AB378" s="5"/>
      <c r="AC378" s="5"/>
      <c r="AD378" s="5"/>
      <c r="AE378" s="5"/>
      <c r="AF378" s="5"/>
      <c r="AG378" s="6">
        <v>3</v>
      </c>
      <c r="AH378" s="6">
        <v>2</v>
      </c>
      <c r="AI378" s="5"/>
      <c r="AJ378" s="5"/>
      <c r="AK378" s="5"/>
      <c r="AL378" s="6">
        <v>116</v>
      </c>
    </row>
    <row r="379" spans="1:38" ht="11.1" customHeight="1" x14ac:dyDescent="0.2">
      <c r="A379" s="4" t="s">
        <v>789</v>
      </c>
      <c r="B379" s="4" t="s">
        <v>790</v>
      </c>
      <c r="C379" s="4" t="s">
        <v>1552</v>
      </c>
      <c r="D379" s="4">
        <v>0</v>
      </c>
      <c r="E379" s="6">
        <v>3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6">
        <v>3</v>
      </c>
    </row>
    <row r="380" spans="1:38" ht="11.1" customHeight="1" x14ac:dyDescent="0.2">
      <c r="A380" s="4" t="s">
        <v>791</v>
      </c>
      <c r="B380" s="4" t="s">
        <v>792</v>
      </c>
      <c r="C380" s="4" t="s">
        <v>1553</v>
      </c>
      <c r="D380" s="4">
        <v>0</v>
      </c>
      <c r="E380" s="5"/>
      <c r="F380" s="5"/>
      <c r="G380" s="5"/>
      <c r="H380" s="5"/>
      <c r="I380" s="5"/>
      <c r="J380" s="6">
        <v>1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6">
        <v>1</v>
      </c>
    </row>
    <row r="381" spans="1:38" ht="11.1" customHeight="1" x14ac:dyDescent="0.2">
      <c r="A381" s="4" t="s">
        <v>793</v>
      </c>
      <c r="B381" s="4" t="s">
        <v>794</v>
      </c>
      <c r="C381" s="4" t="s">
        <v>1554</v>
      </c>
      <c r="D381" s="4">
        <v>0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6">
        <v>1</v>
      </c>
      <c r="AF381" s="5"/>
      <c r="AG381" s="5"/>
      <c r="AH381" s="5"/>
      <c r="AI381" s="5"/>
      <c r="AJ381" s="5"/>
      <c r="AK381" s="5"/>
      <c r="AL381" s="6">
        <v>1</v>
      </c>
    </row>
    <row r="382" spans="1:38" ht="11.1" customHeight="1" x14ac:dyDescent="0.2">
      <c r="A382" s="4" t="s">
        <v>795</v>
      </c>
      <c r="B382" s="4" t="s">
        <v>796</v>
      </c>
      <c r="C382" s="4" t="s">
        <v>1182</v>
      </c>
      <c r="D382" s="4">
        <v>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6">
        <v>5</v>
      </c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6">
        <v>5</v>
      </c>
    </row>
    <row r="383" spans="1:38" ht="11.1" customHeight="1" x14ac:dyDescent="0.2">
      <c r="A383" s="4" t="s">
        <v>797</v>
      </c>
      <c r="B383" s="4" t="s">
        <v>798</v>
      </c>
      <c r="C383" s="4" t="s">
        <v>1555</v>
      </c>
      <c r="D383" s="4">
        <v>14</v>
      </c>
      <c r="E383" s="5"/>
      <c r="F383" s="6">
        <v>2</v>
      </c>
      <c r="G383" s="6">
        <v>1</v>
      </c>
      <c r="H383" s="6">
        <v>1</v>
      </c>
      <c r="I383" s="5"/>
      <c r="J383" s="5"/>
      <c r="K383" s="5"/>
      <c r="L383" s="5"/>
      <c r="M383" s="5"/>
      <c r="N383" s="5"/>
      <c r="O383" s="5"/>
      <c r="P383" s="6">
        <v>13</v>
      </c>
      <c r="Q383" s="5"/>
      <c r="R383" s="6">
        <v>2</v>
      </c>
      <c r="S383" s="5"/>
      <c r="T383" s="5"/>
      <c r="U383" s="5"/>
      <c r="V383" s="6">
        <v>4</v>
      </c>
      <c r="W383" s="5"/>
      <c r="X383" s="6">
        <v>44</v>
      </c>
      <c r="Y383" s="5"/>
      <c r="Z383" s="5"/>
      <c r="AA383" s="5"/>
      <c r="AB383" s="5"/>
      <c r="AC383" s="6">
        <v>1</v>
      </c>
      <c r="AD383" s="5"/>
      <c r="AE383" s="5"/>
      <c r="AF383" s="5"/>
      <c r="AG383" s="5"/>
      <c r="AH383" s="5"/>
      <c r="AI383" s="5"/>
      <c r="AJ383" s="5"/>
      <c r="AK383" s="5"/>
      <c r="AL383" s="6">
        <v>68</v>
      </c>
    </row>
    <row r="384" spans="1:38" ht="11.1" customHeight="1" x14ac:dyDescent="0.2">
      <c r="A384" s="4" t="s">
        <v>799</v>
      </c>
      <c r="B384" s="4" t="s">
        <v>800</v>
      </c>
      <c r="C384" s="4" t="s">
        <v>1556</v>
      </c>
      <c r="D384" s="4">
        <v>14</v>
      </c>
      <c r="E384" s="5"/>
      <c r="F384" s="5"/>
      <c r="G384" s="6">
        <v>2</v>
      </c>
      <c r="H384" s="6">
        <v>4</v>
      </c>
      <c r="I384" s="5"/>
      <c r="J384" s="5"/>
      <c r="K384" s="5"/>
      <c r="L384" s="5"/>
      <c r="M384" s="5"/>
      <c r="N384" s="5"/>
      <c r="O384" s="6">
        <v>3</v>
      </c>
      <c r="P384" s="5"/>
      <c r="Q384" s="5"/>
      <c r="R384" s="5"/>
      <c r="S384" s="5"/>
      <c r="T384" s="5"/>
      <c r="U384" s="6">
        <v>5</v>
      </c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6">
        <v>14</v>
      </c>
    </row>
    <row r="385" spans="1:38" ht="11.1" customHeight="1" x14ac:dyDescent="0.2">
      <c r="A385" s="4" t="s">
        <v>801</v>
      </c>
      <c r="B385" s="4" t="s">
        <v>802</v>
      </c>
      <c r="C385" s="4" t="s">
        <v>1557</v>
      </c>
      <c r="D385" s="4">
        <v>12</v>
      </c>
      <c r="E385" s="5"/>
      <c r="F385" s="6">
        <v>6</v>
      </c>
      <c r="G385" s="6">
        <v>55</v>
      </c>
      <c r="H385" s="6">
        <v>15</v>
      </c>
      <c r="I385" s="5"/>
      <c r="J385" s="5"/>
      <c r="K385" s="6">
        <v>1</v>
      </c>
      <c r="L385" s="5"/>
      <c r="M385" s="5"/>
      <c r="N385" s="6">
        <v>1</v>
      </c>
      <c r="O385" s="6">
        <v>14</v>
      </c>
      <c r="P385" s="5"/>
      <c r="Q385" s="6">
        <v>2</v>
      </c>
      <c r="R385" s="6">
        <v>2</v>
      </c>
      <c r="S385" s="6">
        <v>13</v>
      </c>
      <c r="T385" s="5"/>
      <c r="U385" s="5"/>
      <c r="V385" s="5"/>
      <c r="W385" s="5"/>
      <c r="X385" s="5"/>
      <c r="Y385" s="5"/>
      <c r="Z385" s="5"/>
      <c r="AA385" s="6">
        <v>15</v>
      </c>
      <c r="AB385" s="5"/>
      <c r="AC385" s="6">
        <v>1</v>
      </c>
      <c r="AD385" s="5"/>
      <c r="AE385" s="5"/>
      <c r="AF385" s="6">
        <v>1</v>
      </c>
      <c r="AG385" s="5"/>
      <c r="AH385" s="5"/>
      <c r="AI385" s="6">
        <v>2</v>
      </c>
      <c r="AJ385" s="6">
        <v>3</v>
      </c>
      <c r="AK385" s="5"/>
      <c r="AL385" s="6">
        <v>131</v>
      </c>
    </row>
    <row r="386" spans="1:38" ht="11.1" customHeight="1" x14ac:dyDescent="0.2">
      <c r="A386" s="4" t="s">
        <v>803</v>
      </c>
      <c r="B386" s="4" t="s">
        <v>804</v>
      </c>
      <c r="C386" s="4" t="s">
        <v>1558</v>
      </c>
      <c r="D386" s="4">
        <v>15</v>
      </c>
      <c r="E386" s="6">
        <v>3</v>
      </c>
      <c r="F386" s="6">
        <v>37</v>
      </c>
      <c r="G386" s="6">
        <v>22</v>
      </c>
      <c r="H386" s="6">
        <v>39</v>
      </c>
      <c r="I386" s="6">
        <v>45</v>
      </c>
      <c r="J386" s="6">
        <v>38</v>
      </c>
      <c r="K386" s="6">
        <v>18</v>
      </c>
      <c r="L386" s="6">
        <v>106</v>
      </c>
      <c r="M386" s="6">
        <v>25</v>
      </c>
      <c r="N386" s="6">
        <v>19</v>
      </c>
      <c r="O386" s="6">
        <v>4</v>
      </c>
      <c r="P386" s="6">
        <v>32</v>
      </c>
      <c r="Q386" s="6">
        <v>8</v>
      </c>
      <c r="R386" s="5"/>
      <c r="S386" s="6">
        <v>41</v>
      </c>
      <c r="T386" s="6">
        <v>27</v>
      </c>
      <c r="U386" s="6">
        <v>3</v>
      </c>
      <c r="V386" s="5"/>
      <c r="W386" s="6">
        <v>2</v>
      </c>
      <c r="X386" s="5"/>
      <c r="Y386" s="6">
        <v>22</v>
      </c>
      <c r="Z386" s="6">
        <v>1</v>
      </c>
      <c r="AA386" s="6">
        <v>22</v>
      </c>
      <c r="AB386" s="5"/>
      <c r="AC386" s="5"/>
      <c r="AD386" s="5"/>
      <c r="AE386" s="5"/>
      <c r="AF386" s="6">
        <v>1</v>
      </c>
      <c r="AG386" s="5"/>
      <c r="AH386" s="5"/>
      <c r="AI386" s="5"/>
      <c r="AJ386" s="5"/>
      <c r="AK386" s="5"/>
      <c r="AL386" s="6">
        <v>515</v>
      </c>
    </row>
    <row r="387" spans="1:38" ht="11.1" customHeight="1" x14ac:dyDescent="0.2">
      <c r="A387" s="4" t="s">
        <v>805</v>
      </c>
      <c r="B387" s="4" t="s">
        <v>806</v>
      </c>
      <c r="C387" s="4" t="s">
        <v>1559</v>
      </c>
      <c r="D387" s="4">
        <v>20</v>
      </c>
      <c r="E387" s="5"/>
      <c r="F387" s="5"/>
      <c r="G387" s="6">
        <v>4</v>
      </c>
      <c r="H387" s="5"/>
      <c r="I387" s="5"/>
      <c r="J387" s="6">
        <v>16</v>
      </c>
      <c r="K387" s="6">
        <v>5</v>
      </c>
      <c r="L387" s="6">
        <v>12</v>
      </c>
      <c r="M387" s="6">
        <v>7</v>
      </c>
      <c r="N387" s="6">
        <v>6</v>
      </c>
      <c r="O387" s="6">
        <v>3</v>
      </c>
      <c r="P387" s="6">
        <v>5</v>
      </c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6">
        <v>9</v>
      </c>
      <c r="AB387" s="6">
        <v>46</v>
      </c>
      <c r="AC387" s="5"/>
      <c r="AD387" s="5"/>
      <c r="AE387" s="5"/>
      <c r="AF387" s="5"/>
      <c r="AG387" s="5"/>
      <c r="AH387" s="5"/>
      <c r="AI387" s="5"/>
      <c r="AJ387" s="5"/>
      <c r="AK387" s="5"/>
      <c r="AL387" s="6">
        <v>113</v>
      </c>
    </row>
    <row r="388" spans="1:38" ht="11.1" customHeight="1" x14ac:dyDescent="0.2">
      <c r="A388" s="4" t="s">
        <v>807</v>
      </c>
      <c r="B388" s="4" t="s">
        <v>808</v>
      </c>
      <c r="C388" s="4" t="s">
        <v>1560</v>
      </c>
      <c r="D388" s="4">
        <v>15</v>
      </c>
      <c r="E388" s="6">
        <v>19</v>
      </c>
      <c r="F388" s="6">
        <v>25</v>
      </c>
      <c r="G388" s="6">
        <v>12</v>
      </c>
      <c r="H388" s="6">
        <v>21</v>
      </c>
      <c r="I388" s="6">
        <v>17</v>
      </c>
      <c r="J388" s="6">
        <v>13</v>
      </c>
      <c r="K388" s="6">
        <v>20</v>
      </c>
      <c r="L388" s="6">
        <v>60</v>
      </c>
      <c r="M388" s="6">
        <v>8</v>
      </c>
      <c r="N388" s="6">
        <v>9</v>
      </c>
      <c r="O388" s="6">
        <v>5</v>
      </c>
      <c r="P388" s="6">
        <v>12</v>
      </c>
      <c r="Q388" s="6">
        <v>7</v>
      </c>
      <c r="R388" s="6">
        <v>1</v>
      </c>
      <c r="S388" s="6">
        <v>5</v>
      </c>
      <c r="T388" s="6">
        <v>9</v>
      </c>
      <c r="U388" s="6">
        <v>4</v>
      </c>
      <c r="V388" s="5"/>
      <c r="W388" s="5"/>
      <c r="X388" s="5"/>
      <c r="Y388" s="6">
        <v>1</v>
      </c>
      <c r="Z388" s="6">
        <v>2</v>
      </c>
      <c r="AA388" s="5"/>
      <c r="AB388" s="6">
        <v>4</v>
      </c>
      <c r="AC388" s="5"/>
      <c r="AD388" s="5"/>
      <c r="AE388" s="6">
        <v>6</v>
      </c>
      <c r="AF388" s="6">
        <v>1</v>
      </c>
      <c r="AG388" s="5"/>
      <c r="AH388" s="5"/>
      <c r="AI388" s="5"/>
      <c r="AJ388" s="6">
        <v>69</v>
      </c>
      <c r="AK388" s="6">
        <v>14</v>
      </c>
      <c r="AL388" s="6">
        <v>344</v>
      </c>
    </row>
    <row r="389" spans="1:38" ht="11.1" customHeight="1" x14ac:dyDescent="0.2">
      <c r="A389" s="4" t="s">
        <v>809</v>
      </c>
      <c r="B389" s="4" t="s">
        <v>810</v>
      </c>
      <c r="C389" s="4" t="s">
        <v>1561</v>
      </c>
      <c r="D389" s="4">
        <v>20</v>
      </c>
      <c r="E389" s="5"/>
      <c r="F389" s="5"/>
      <c r="G389" s="5"/>
      <c r="H389" s="6">
        <v>2</v>
      </c>
      <c r="I389" s="6">
        <v>5</v>
      </c>
      <c r="J389" s="6">
        <v>9</v>
      </c>
      <c r="K389" s="6">
        <v>2</v>
      </c>
      <c r="L389" s="5"/>
      <c r="M389" s="6">
        <v>5</v>
      </c>
      <c r="N389" s="6">
        <v>-3</v>
      </c>
      <c r="O389" s="6">
        <v>2</v>
      </c>
      <c r="P389" s="6">
        <v>4</v>
      </c>
      <c r="Q389" s="6">
        <v>2</v>
      </c>
      <c r="R389" s="5"/>
      <c r="S389" s="5"/>
      <c r="T389" s="5"/>
      <c r="U389" s="5"/>
      <c r="V389" s="5"/>
      <c r="W389" s="5"/>
      <c r="X389" s="6">
        <v>5</v>
      </c>
      <c r="Y389" s="5"/>
      <c r="Z389" s="5"/>
      <c r="AA389" s="6">
        <v>8</v>
      </c>
      <c r="AB389" s="6">
        <v>23</v>
      </c>
      <c r="AC389" s="5"/>
      <c r="AD389" s="5"/>
      <c r="AE389" s="5"/>
      <c r="AF389" s="5"/>
      <c r="AG389" s="5"/>
      <c r="AH389" s="6">
        <v>1</v>
      </c>
      <c r="AI389" s="5"/>
      <c r="AJ389" s="5"/>
      <c r="AK389" s="5"/>
      <c r="AL389" s="6">
        <v>65</v>
      </c>
    </row>
    <row r="390" spans="1:38" ht="11.1" customHeight="1" x14ac:dyDescent="0.2">
      <c r="A390" s="4" t="s">
        <v>811</v>
      </c>
      <c r="B390" s="4" t="s">
        <v>812</v>
      </c>
      <c r="C390" s="4" t="s">
        <v>1562</v>
      </c>
      <c r="D390" s="4">
        <v>20</v>
      </c>
      <c r="E390" s="6">
        <v>1</v>
      </c>
      <c r="F390" s="6">
        <v>6</v>
      </c>
      <c r="G390" s="5"/>
      <c r="H390" s="6">
        <v>16</v>
      </c>
      <c r="I390" s="6">
        <v>1</v>
      </c>
      <c r="J390" s="6">
        <v>2</v>
      </c>
      <c r="K390" s="6">
        <v>5</v>
      </c>
      <c r="L390" s="5"/>
      <c r="M390" s="5"/>
      <c r="N390" s="6">
        <v>11</v>
      </c>
      <c r="O390" s="5"/>
      <c r="P390" s="5"/>
      <c r="Q390" s="5"/>
      <c r="R390" s="5"/>
      <c r="S390" s="5"/>
      <c r="T390" s="5"/>
      <c r="U390" s="5"/>
      <c r="V390" s="6">
        <v>1</v>
      </c>
      <c r="W390" s="5"/>
      <c r="X390" s="5"/>
      <c r="Y390" s="5"/>
      <c r="Z390" s="5"/>
      <c r="AA390" s="6">
        <v>1</v>
      </c>
      <c r="AB390" s="6">
        <v>2</v>
      </c>
      <c r="AC390" s="5"/>
      <c r="AD390" s="6">
        <v>1</v>
      </c>
      <c r="AE390" s="5"/>
      <c r="AF390" s="5"/>
      <c r="AG390" s="5"/>
      <c r="AH390" s="6">
        <v>4</v>
      </c>
      <c r="AI390" s="6">
        <v>2</v>
      </c>
      <c r="AJ390" s="5"/>
      <c r="AK390" s="6">
        <v>13</v>
      </c>
      <c r="AL390" s="6">
        <v>66</v>
      </c>
    </row>
    <row r="391" spans="1:38" ht="11.1" customHeight="1" x14ac:dyDescent="0.2">
      <c r="A391" s="4" t="s">
        <v>813</v>
      </c>
      <c r="B391" s="4" t="s">
        <v>814</v>
      </c>
      <c r="C391" s="4" t="s">
        <v>1563</v>
      </c>
      <c r="D391" s="4">
        <v>20</v>
      </c>
      <c r="E391" s="6">
        <v>7</v>
      </c>
      <c r="F391" s="5"/>
      <c r="G391" s="6">
        <v>5</v>
      </c>
      <c r="H391" s="6">
        <v>4</v>
      </c>
      <c r="I391" s="6">
        <v>18</v>
      </c>
      <c r="J391" s="6">
        <v>17</v>
      </c>
      <c r="K391" s="6">
        <v>1</v>
      </c>
      <c r="L391" s="5"/>
      <c r="M391" s="5"/>
      <c r="N391" s="6">
        <v>5</v>
      </c>
      <c r="O391" s="5"/>
      <c r="P391" s="5"/>
      <c r="Q391" s="6">
        <v>1</v>
      </c>
      <c r="R391" s="5"/>
      <c r="S391" s="5"/>
      <c r="T391" s="5"/>
      <c r="U391" s="5"/>
      <c r="V391" s="6">
        <v>1</v>
      </c>
      <c r="W391" s="5"/>
      <c r="X391" s="5"/>
      <c r="Y391" s="5"/>
      <c r="Z391" s="5"/>
      <c r="AA391" s="6">
        <v>2</v>
      </c>
      <c r="AB391" s="6">
        <v>23</v>
      </c>
      <c r="AC391" s="6">
        <v>11</v>
      </c>
      <c r="AD391" s="6">
        <v>3</v>
      </c>
      <c r="AE391" s="5"/>
      <c r="AF391" s="6">
        <v>3</v>
      </c>
      <c r="AG391" s="6">
        <v>5</v>
      </c>
      <c r="AH391" s="5"/>
      <c r="AI391" s="5"/>
      <c r="AJ391" s="5"/>
      <c r="AK391" s="5"/>
      <c r="AL391" s="6">
        <v>106</v>
      </c>
    </row>
    <row r="392" spans="1:38" ht="11.1" customHeight="1" x14ac:dyDescent="0.2">
      <c r="A392" s="4" t="s">
        <v>815</v>
      </c>
      <c r="B392" s="4" t="s">
        <v>816</v>
      </c>
      <c r="C392" s="4" t="s">
        <v>1564</v>
      </c>
      <c r="D392" s="4">
        <v>20</v>
      </c>
      <c r="E392" s="6">
        <v>6</v>
      </c>
      <c r="F392" s="5"/>
      <c r="G392" s="5"/>
      <c r="H392" s="5"/>
      <c r="I392" s="5"/>
      <c r="J392" s="6">
        <v>11</v>
      </c>
      <c r="K392" s="6">
        <v>3</v>
      </c>
      <c r="L392" s="5"/>
      <c r="M392" s="6">
        <v>2</v>
      </c>
      <c r="N392" s="6">
        <v>-2</v>
      </c>
      <c r="O392" s="5"/>
      <c r="P392" s="5"/>
      <c r="Q392" s="5"/>
      <c r="R392" s="5"/>
      <c r="S392" s="5"/>
      <c r="T392" s="6">
        <v>1</v>
      </c>
      <c r="U392" s="6">
        <v>2</v>
      </c>
      <c r="V392" s="6">
        <v>1</v>
      </c>
      <c r="W392" s="5"/>
      <c r="X392" s="6">
        <v>2</v>
      </c>
      <c r="Y392" s="5"/>
      <c r="Z392" s="6">
        <v>1</v>
      </c>
      <c r="AA392" s="6">
        <v>17</v>
      </c>
      <c r="AB392" s="6">
        <v>10</v>
      </c>
      <c r="AC392" s="6">
        <v>2</v>
      </c>
      <c r="AD392" s="6">
        <v>11</v>
      </c>
      <c r="AE392" s="6">
        <v>1</v>
      </c>
      <c r="AF392" s="6">
        <v>1</v>
      </c>
      <c r="AG392" s="6">
        <v>10</v>
      </c>
      <c r="AH392" s="6">
        <v>16</v>
      </c>
      <c r="AI392" s="6">
        <v>4</v>
      </c>
      <c r="AJ392" s="5"/>
      <c r="AK392" s="5"/>
      <c r="AL392" s="6">
        <v>99</v>
      </c>
    </row>
    <row r="393" spans="1:38" ht="11.1" customHeight="1" x14ac:dyDescent="0.2">
      <c r="A393" s="4" t="s">
        <v>817</v>
      </c>
      <c r="B393" s="4" t="s">
        <v>818</v>
      </c>
      <c r="C393" s="4" t="s">
        <v>1565</v>
      </c>
      <c r="D393" s="4">
        <v>15</v>
      </c>
      <c r="E393" s="6">
        <v>3</v>
      </c>
      <c r="F393" s="6">
        <v>23</v>
      </c>
      <c r="G393" s="6">
        <v>22</v>
      </c>
      <c r="H393" s="6">
        <v>34</v>
      </c>
      <c r="I393" s="6">
        <v>30</v>
      </c>
      <c r="J393" s="6">
        <v>16</v>
      </c>
      <c r="K393" s="6">
        <v>12</v>
      </c>
      <c r="L393" s="6">
        <v>104</v>
      </c>
      <c r="M393" s="6">
        <v>5</v>
      </c>
      <c r="N393" s="6">
        <v>19</v>
      </c>
      <c r="O393" s="6">
        <v>2</v>
      </c>
      <c r="P393" s="5"/>
      <c r="Q393" s="5"/>
      <c r="R393" s="6">
        <v>16</v>
      </c>
      <c r="S393" s="5"/>
      <c r="T393" s="6">
        <v>10</v>
      </c>
      <c r="U393" s="5"/>
      <c r="V393" s="5"/>
      <c r="W393" s="5"/>
      <c r="X393" s="5"/>
      <c r="Y393" s="5"/>
      <c r="Z393" s="5"/>
      <c r="AA393" s="6">
        <v>63</v>
      </c>
      <c r="AB393" s="6">
        <v>8</v>
      </c>
      <c r="AC393" s="6">
        <v>10</v>
      </c>
      <c r="AD393" s="6">
        <v>2</v>
      </c>
      <c r="AE393" s="5"/>
      <c r="AF393" s="5"/>
      <c r="AG393" s="5"/>
      <c r="AH393" s="5"/>
      <c r="AI393" s="5"/>
      <c r="AJ393" s="5"/>
      <c r="AK393" s="5"/>
      <c r="AL393" s="6">
        <v>379</v>
      </c>
    </row>
    <row r="394" spans="1:38" ht="11.1" customHeight="1" x14ac:dyDescent="0.2">
      <c r="A394" s="4" t="s">
        <v>819</v>
      </c>
      <c r="B394" s="4" t="s">
        <v>820</v>
      </c>
      <c r="C394" s="4" t="s">
        <v>1566</v>
      </c>
      <c r="D394" s="4">
        <v>10</v>
      </c>
      <c r="E394" s="6">
        <v>1</v>
      </c>
      <c r="F394" s="5"/>
      <c r="G394" s="6">
        <v>8</v>
      </c>
      <c r="H394" s="6">
        <v>25</v>
      </c>
      <c r="I394" s="6">
        <v>29</v>
      </c>
      <c r="J394" s="6">
        <v>9</v>
      </c>
      <c r="K394" s="5"/>
      <c r="L394" s="6">
        <v>3</v>
      </c>
      <c r="M394" s="6">
        <v>10</v>
      </c>
      <c r="N394" s="6">
        <v>16</v>
      </c>
      <c r="O394" s="6">
        <v>6</v>
      </c>
      <c r="P394" s="6">
        <v>10</v>
      </c>
      <c r="Q394" s="5"/>
      <c r="R394" s="5"/>
      <c r="S394" s="6">
        <v>12</v>
      </c>
      <c r="T394" s="5"/>
      <c r="U394" s="5"/>
      <c r="V394" s="5"/>
      <c r="W394" s="5"/>
      <c r="X394" s="5"/>
      <c r="Y394" s="5"/>
      <c r="Z394" s="5"/>
      <c r="AA394" s="6">
        <v>154</v>
      </c>
      <c r="AB394" s="6">
        <v>103</v>
      </c>
      <c r="AC394" s="5"/>
      <c r="AD394" s="5"/>
      <c r="AE394" s="5"/>
      <c r="AF394" s="5"/>
      <c r="AG394" s="5"/>
      <c r="AH394" s="5"/>
      <c r="AI394" s="5"/>
      <c r="AJ394" s="5"/>
      <c r="AK394" s="5"/>
      <c r="AL394" s="6">
        <v>386</v>
      </c>
    </row>
    <row r="395" spans="1:38" ht="11.1" customHeight="1" x14ac:dyDescent="0.2">
      <c r="A395" s="4" t="s">
        <v>821</v>
      </c>
      <c r="B395" s="4" t="s">
        <v>822</v>
      </c>
      <c r="C395" s="4" t="s">
        <v>1567</v>
      </c>
      <c r="D395" s="4">
        <v>15</v>
      </c>
      <c r="E395" s="5"/>
      <c r="F395" s="6">
        <v>2</v>
      </c>
      <c r="G395" s="6">
        <v>7</v>
      </c>
      <c r="H395" s="6">
        <v>88</v>
      </c>
      <c r="I395" s="6">
        <v>121</v>
      </c>
      <c r="J395" s="6">
        <v>183</v>
      </c>
      <c r="K395" s="6">
        <v>48</v>
      </c>
      <c r="L395" s="6">
        <v>237</v>
      </c>
      <c r="M395" s="6">
        <v>42</v>
      </c>
      <c r="N395" s="6">
        <v>75</v>
      </c>
      <c r="O395" s="6">
        <v>31</v>
      </c>
      <c r="P395" s="6">
        <v>70</v>
      </c>
      <c r="Q395" s="6">
        <v>20</v>
      </c>
      <c r="R395" s="6">
        <v>5</v>
      </c>
      <c r="S395" s="6">
        <v>23</v>
      </c>
      <c r="T395" s="6">
        <v>14</v>
      </c>
      <c r="U395" s="6">
        <v>77</v>
      </c>
      <c r="V395" s="5"/>
      <c r="W395" s="6">
        <v>30</v>
      </c>
      <c r="X395" s="6">
        <v>5</v>
      </c>
      <c r="Y395" s="6">
        <v>51</v>
      </c>
      <c r="Z395" s="6">
        <v>55</v>
      </c>
      <c r="AA395" s="6">
        <v>102</v>
      </c>
      <c r="AB395" s="6">
        <v>156</v>
      </c>
      <c r="AC395" s="6">
        <v>8</v>
      </c>
      <c r="AD395" s="5"/>
      <c r="AE395" s="5"/>
      <c r="AF395" s="6">
        <v>1</v>
      </c>
      <c r="AG395" s="5"/>
      <c r="AH395" s="5"/>
      <c r="AI395" s="5"/>
      <c r="AJ395" s="5"/>
      <c r="AK395" s="5"/>
      <c r="AL395" s="7">
        <v>1451</v>
      </c>
    </row>
    <row r="396" spans="1:38" ht="11.1" customHeight="1" x14ac:dyDescent="0.2">
      <c r="A396" s="4" t="s">
        <v>823</v>
      </c>
      <c r="B396" s="4" t="s">
        <v>824</v>
      </c>
      <c r="C396" s="4" t="s">
        <v>1568</v>
      </c>
      <c r="D396" s="4">
        <v>15</v>
      </c>
      <c r="E396" s="6">
        <v>50</v>
      </c>
      <c r="F396" s="6">
        <v>106</v>
      </c>
      <c r="G396" s="5"/>
      <c r="H396" s="6">
        <v>95</v>
      </c>
      <c r="I396" s="6">
        <v>32</v>
      </c>
      <c r="J396" s="6">
        <v>39</v>
      </c>
      <c r="K396" s="6">
        <v>7</v>
      </c>
      <c r="L396" s="6">
        <v>154</v>
      </c>
      <c r="M396" s="6">
        <v>1</v>
      </c>
      <c r="N396" s="6">
        <v>16</v>
      </c>
      <c r="O396" s="6">
        <v>74</v>
      </c>
      <c r="P396" s="6">
        <v>21</v>
      </c>
      <c r="Q396" s="6">
        <v>5</v>
      </c>
      <c r="R396" s="5"/>
      <c r="S396" s="6">
        <v>40</v>
      </c>
      <c r="T396" s="5"/>
      <c r="U396" s="6">
        <v>50</v>
      </c>
      <c r="V396" s="5"/>
      <c r="W396" s="6">
        <v>1</v>
      </c>
      <c r="X396" s="5"/>
      <c r="Y396" s="5"/>
      <c r="Z396" s="6">
        <v>3</v>
      </c>
      <c r="AA396" s="6">
        <v>62</v>
      </c>
      <c r="AB396" s="6">
        <v>38</v>
      </c>
      <c r="AC396" s="5"/>
      <c r="AD396" s="5"/>
      <c r="AE396" s="5"/>
      <c r="AF396" s="5"/>
      <c r="AG396" s="5"/>
      <c r="AH396" s="5"/>
      <c r="AI396" s="5"/>
      <c r="AJ396" s="5"/>
      <c r="AK396" s="5"/>
      <c r="AL396" s="6">
        <v>794</v>
      </c>
    </row>
    <row r="397" spans="1:38" ht="11.1" customHeight="1" x14ac:dyDescent="0.2">
      <c r="A397" s="4" t="s">
        <v>825</v>
      </c>
      <c r="B397" s="4" t="s">
        <v>826</v>
      </c>
      <c r="C397" s="4" t="s">
        <v>1569</v>
      </c>
      <c r="D397" s="4">
        <v>10</v>
      </c>
      <c r="E397" s="5"/>
      <c r="F397" s="5"/>
      <c r="G397" s="5"/>
      <c r="H397" s="6">
        <v>2</v>
      </c>
      <c r="I397" s="6">
        <v>16</v>
      </c>
      <c r="J397" s="6">
        <v>18</v>
      </c>
      <c r="K397" s="5"/>
      <c r="L397" s="6">
        <v>60</v>
      </c>
      <c r="M397" s="6">
        <v>4</v>
      </c>
      <c r="N397" s="6">
        <v>1</v>
      </c>
      <c r="O397" s="5"/>
      <c r="P397" s="6">
        <v>1</v>
      </c>
      <c r="Q397" s="6">
        <v>2</v>
      </c>
      <c r="R397" s="6">
        <v>1</v>
      </c>
      <c r="S397" s="5"/>
      <c r="T397" s="5"/>
      <c r="U397" s="6">
        <v>11</v>
      </c>
      <c r="V397" s="6">
        <v>2</v>
      </c>
      <c r="W397" s="5"/>
      <c r="X397" s="6">
        <v>6</v>
      </c>
      <c r="Y397" s="6">
        <v>1</v>
      </c>
      <c r="Z397" s="6">
        <v>4</v>
      </c>
      <c r="AA397" s="6">
        <v>15</v>
      </c>
      <c r="AB397" s="6">
        <v>22</v>
      </c>
      <c r="AC397" s="5"/>
      <c r="AD397" s="5"/>
      <c r="AE397" s="5"/>
      <c r="AF397" s="5"/>
      <c r="AG397" s="5"/>
      <c r="AH397" s="5"/>
      <c r="AI397" s="5"/>
      <c r="AJ397" s="5"/>
      <c r="AK397" s="6">
        <v>2</v>
      </c>
      <c r="AL397" s="6">
        <v>168</v>
      </c>
    </row>
    <row r="398" spans="1:38" ht="11.1" customHeight="1" x14ac:dyDescent="0.2">
      <c r="A398" s="4" t="s">
        <v>827</v>
      </c>
      <c r="B398" s="4" t="s">
        <v>828</v>
      </c>
      <c r="C398" s="4" t="s">
        <v>1570</v>
      </c>
      <c r="D398" s="4">
        <v>10</v>
      </c>
      <c r="E398" s="6">
        <v>2</v>
      </c>
      <c r="F398" s="6">
        <v>6</v>
      </c>
      <c r="G398" s="5"/>
      <c r="H398" s="6">
        <v>11</v>
      </c>
      <c r="I398" s="6">
        <v>5</v>
      </c>
      <c r="J398" s="6">
        <v>5</v>
      </c>
      <c r="K398" s="6">
        <v>1</v>
      </c>
      <c r="L398" s="6">
        <v>3</v>
      </c>
      <c r="M398" s="6">
        <v>2</v>
      </c>
      <c r="N398" s="6">
        <v>2</v>
      </c>
      <c r="O398" s="5"/>
      <c r="P398" s="6">
        <v>5</v>
      </c>
      <c r="Q398" s="5"/>
      <c r="R398" s="5"/>
      <c r="S398" s="6">
        <v>2</v>
      </c>
      <c r="T398" s="5"/>
      <c r="U398" s="6">
        <v>2</v>
      </c>
      <c r="V398" s="5"/>
      <c r="W398" s="5"/>
      <c r="X398" s="6">
        <v>2</v>
      </c>
      <c r="Y398" s="5"/>
      <c r="Z398" s="6">
        <v>2</v>
      </c>
      <c r="AA398" s="6">
        <v>11</v>
      </c>
      <c r="AB398" s="6">
        <v>-1</v>
      </c>
      <c r="AC398" s="5"/>
      <c r="AD398" s="5"/>
      <c r="AE398" s="5"/>
      <c r="AF398" s="5"/>
      <c r="AG398" s="5"/>
      <c r="AH398" s="5"/>
      <c r="AI398" s="5"/>
      <c r="AJ398" s="5"/>
      <c r="AK398" s="5"/>
      <c r="AL398" s="6">
        <v>60</v>
      </c>
    </row>
    <row r="399" spans="1:38" ht="11.1" customHeight="1" x14ac:dyDescent="0.2">
      <c r="A399" s="4" t="s">
        <v>829</v>
      </c>
      <c r="B399" s="4" t="s">
        <v>830</v>
      </c>
      <c r="C399" s="4" t="s">
        <v>1571</v>
      </c>
      <c r="D399" s="4">
        <v>10</v>
      </c>
      <c r="E399" s="5"/>
      <c r="F399" s="5"/>
      <c r="G399" s="6">
        <v>2</v>
      </c>
      <c r="H399" s="6">
        <v>1</v>
      </c>
      <c r="I399" s="6">
        <v>2</v>
      </c>
      <c r="J399" s="5"/>
      <c r="K399" s="5"/>
      <c r="L399" s="5"/>
      <c r="M399" s="5"/>
      <c r="N399" s="6">
        <v>2</v>
      </c>
      <c r="O399" s="5"/>
      <c r="P399" s="5"/>
      <c r="Q399" s="5"/>
      <c r="R399" s="5"/>
      <c r="S399" s="6">
        <v>2</v>
      </c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6">
        <v>9</v>
      </c>
    </row>
    <row r="400" spans="1:38" ht="11.1" customHeight="1" x14ac:dyDescent="0.2">
      <c r="A400" s="4" t="s">
        <v>831</v>
      </c>
      <c r="B400" s="4" t="s">
        <v>832</v>
      </c>
      <c r="C400" s="4" t="s">
        <v>1572</v>
      </c>
      <c r="D400" s="4">
        <v>10</v>
      </c>
      <c r="E400" s="5"/>
      <c r="F400" s="6">
        <v>5</v>
      </c>
      <c r="G400" s="6">
        <v>4</v>
      </c>
      <c r="H400" s="6">
        <v>6</v>
      </c>
      <c r="I400" s="5"/>
      <c r="J400" s="6">
        <v>8</v>
      </c>
      <c r="K400" s="6">
        <v>2</v>
      </c>
      <c r="L400" s="5"/>
      <c r="M400" s="5"/>
      <c r="N400" s="6">
        <v>2</v>
      </c>
      <c r="O400" s="6">
        <v>1</v>
      </c>
      <c r="P400" s="5"/>
      <c r="Q400" s="5"/>
      <c r="R400" s="5"/>
      <c r="S400" s="5"/>
      <c r="T400" s="6">
        <v>3</v>
      </c>
      <c r="U400" s="5"/>
      <c r="V400" s="5"/>
      <c r="W400" s="5"/>
      <c r="X400" s="5"/>
      <c r="Y400" s="5"/>
      <c r="Z400" s="5"/>
      <c r="AA400" s="6">
        <v>2</v>
      </c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6">
        <v>33</v>
      </c>
    </row>
    <row r="401" spans="1:38" ht="11.1" customHeight="1" x14ac:dyDescent="0.2">
      <c r="A401" s="4" t="s">
        <v>833</v>
      </c>
      <c r="B401" s="4" t="s">
        <v>834</v>
      </c>
      <c r="C401" s="4" t="s">
        <v>1573</v>
      </c>
      <c r="D401" s="4">
        <v>10</v>
      </c>
      <c r="E401" s="6">
        <v>1</v>
      </c>
      <c r="F401" s="5"/>
      <c r="G401" s="5"/>
      <c r="H401" s="6">
        <v>1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6">
        <v>1</v>
      </c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6">
        <v>3</v>
      </c>
    </row>
    <row r="402" spans="1:38" ht="11.1" customHeight="1" x14ac:dyDescent="0.2">
      <c r="A402" s="4" t="s">
        <v>835</v>
      </c>
      <c r="B402" s="4" t="s">
        <v>836</v>
      </c>
      <c r="C402" s="4" t="s">
        <v>1574</v>
      </c>
      <c r="D402" s="4">
        <v>1</v>
      </c>
      <c r="E402" s="5"/>
      <c r="F402" s="6">
        <v>3</v>
      </c>
      <c r="G402" s="6">
        <v>3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6">
        <v>1</v>
      </c>
      <c r="AB402" s="6">
        <v>6</v>
      </c>
      <c r="AC402" s="5"/>
      <c r="AD402" s="5"/>
      <c r="AE402" s="5"/>
      <c r="AF402" s="6">
        <v>5</v>
      </c>
      <c r="AG402" s="5"/>
      <c r="AH402" s="5"/>
      <c r="AI402" s="5"/>
      <c r="AJ402" s="5"/>
      <c r="AK402" s="5"/>
      <c r="AL402" s="6">
        <v>18</v>
      </c>
    </row>
    <row r="403" spans="1:38" ht="11.1" customHeight="1" x14ac:dyDescent="0.2">
      <c r="A403" s="4" t="s">
        <v>837</v>
      </c>
      <c r="B403" s="4" t="s">
        <v>838</v>
      </c>
      <c r="C403" s="4" t="s">
        <v>1575</v>
      </c>
      <c r="D403" s="4">
        <v>45</v>
      </c>
      <c r="E403" s="6">
        <v>3</v>
      </c>
      <c r="F403" s="6">
        <v>12</v>
      </c>
      <c r="G403" s="6">
        <v>2</v>
      </c>
      <c r="H403" s="6">
        <v>21</v>
      </c>
      <c r="I403" s="6">
        <v>28</v>
      </c>
      <c r="J403" s="6">
        <v>30</v>
      </c>
      <c r="K403" s="6">
        <v>10</v>
      </c>
      <c r="L403" s="6">
        <v>56</v>
      </c>
      <c r="M403" s="6">
        <v>8</v>
      </c>
      <c r="N403" s="6">
        <v>3</v>
      </c>
      <c r="O403" s="6">
        <v>5</v>
      </c>
      <c r="P403" s="6">
        <v>6</v>
      </c>
      <c r="Q403" s="6">
        <v>16</v>
      </c>
      <c r="R403" s="5"/>
      <c r="S403" s="6">
        <v>4</v>
      </c>
      <c r="T403" s="6">
        <v>5</v>
      </c>
      <c r="U403" s="6">
        <v>2</v>
      </c>
      <c r="V403" s="6">
        <v>1</v>
      </c>
      <c r="W403" s="5"/>
      <c r="X403" s="6">
        <v>11</v>
      </c>
      <c r="Y403" s="5"/>
      <c r="Z403" s="6">
        <v>20</v>
      </c>
      <c r="AA403" s="6">
        <v>47</v>
      </c>
      <c r="AB403" s="6">
        <v>66</v>
      </c>
      <c r="AC403" s="5"/>
      <c r="AD403" s="6">
        <v>5</v>
      </c>
      <c r="AE403" s="6">
        <v>2</v>
      </c>
      <c r="AF403" s="6">
        <v>21</v>
      </c>
      <c r="AG403" s="6">
        <v>6</v>
      </c>
      <c r="AH403" s="6">
        <v>1</v>
      </c>
      <c r="AI403" s="5"/>
      <c r="AJ403" s="6">
        <v>3</v>
      </c>
      <c r="AK403" s="6">
        <v>6</v>
      </c>
      <c r="AL403" s="6">
        <v>400</v>
      </c>
    </row>
    <row r="404" spans="1:38" ht="11.1" customHeight="1" x14ac:dyDescent="0.2">
      <c r="A404" s="4" t="s">
        <v>839</v>
      </c>
      <c r="B404" s="4" t="s">
        <v>840</v>
      </c>
      <c r="C404" s="4" t="s">
        <v>1576</v>
      </c>
      <c r="D404" s="4">
        <v>30</v>
      </c>
      <c r="E404" s="6">
        <v>11</v>
      </c>
      <c r="F404" s="6">
        <v>38</v>
      </c>
      <c r="G404" s="6">
        <v>32</v>
      </c>
      <c r="H404" s="6">
        <v>61</v>
      </c>
      <c r="I404" s="6">
        <v>32</v>
      </c>
      <c r="J404" s="6">
        <v>55</v>
      </c>
      <c r="K404" s="6">
        <v>6</v>
      </c>
      <c r="L404" s="6">
        <v>137</v>
      </c>
      <c r="M404" s="6">
        <v>14</v>
      </c>
      <c r="N404" s="6">
        <v>28</v>
      </c>
      <c r="O404" s="6">
        <v>14</v>
      </c>
      <c r="P404" s="6">
        <v>35</v>
      </c>
      <c r="Q404" s="6">
        <v>11</v>
      </c>
      <c r="R404" s="6">
        <v>2</v>
      </c>
      <c r="S404" s="6">
        <v>4</v>
      </c>
      <c r="T404" s="6">
        <v>14</v>
      </c>
      <c r="U404" s="6">
        <v>9</v>
      </c>
      <c r="V404" s="5"/>
      <c r="W404" s="6">
        <v>7</v>
      </c>
      <c r="X404" s="6">
        <v>13</v>
      </c>
      <c r="Y404" s="5"/>
      <c r="Z404" s="6">
        <v>15</v>
      </c>
      <c r="AA404" s="6">
        <v>43</v>
      </c>
      <c r="AB404" s="6">
        <v>25</v>
      </c>
      <c r="AC404" s="5"/>
      <c r="AD404" s="6">
        <v>3</v>
      </c>
      <c r="AE404" s="6">
        <v>1</v>
      </c>
      <c r="AF404" s="6">
        <v>9</v>
      </c>
      <c r="AG404" s="6">
        <v>19</v>
      </c>
      <c r="AH404" s="6">
        <v>3</v>
      </c>
      <c r="AI404" s="6">
        <v>4</v>
      </c>
      <c r="AJ404" s="6">
        <v>4</v>
      </c>
      <c r="AK404" s="6">
        <v>11</v>
      </c>
      <c r="AL404" s="6">
        <v>660</v>
      </c>
    </row>
    <row r="405" spans="1:38" ht="11.1" customHeight="1" x14ac:dyDescent="0.2">
      <c r="A405" s="4" t="s">
        <v>841</v>
      </c>
      <c r="B405" s="4" t="s">
        <v>842</v>
      </c>
      <c r="C405" s="4" t="s">
        <v>1577</v>
      </c>
      <c r="D405" s="4">
        <v>15</v>
      </c>
      <c r="E405" s="6">
        <v>4</v>
      </c>
      <c r="F405" s="6">
        <v>7</v>
      </c>
      <c r="G405" s="5"/>
      <c r="H405" s="6">
        <v>18</v>
      </c>
      <c r="I405" s="6">
        <v>12</v>
      </c>
      <c r="J405" s="6">
        <v>20</v>
      </c>
      <c r="K405" s="6">
        <v>3</v>
      </c>
      <c r="L405" s="6">
        <v>60</v>
      </c>
      <c r="M405" s="6">
        <v>3</v>
      </c>
      <c r="N405" s="6">
        <v>11</v>
      </c>
      <c r="O405" s="6">
        <v>4</v>
      </c>
      <c r="P405" s="6">
        <v>10</v>
      </c>
      <c r="Q405" s="6">
        <v>3</v>
      </c>
      <c r="R405" s="6">
        <v>1</v>
      </c>
      <c r="S405" s="5"/>
      <c r="T405" s="5"/>
      <c r="U405" s="6">
        <v>2</v>
      </c>
      <c r="V405" s="5"/>
      <c r="W405" s="5"/>
      <c r="X405" s="6">
        <v>4</v>
      </c>
      <c r="Y405" s="5"/>
      <c r="Z405" s="6">
        <v>12</v>
      </c>
      <c r="AA405" s="6">
        <v>10</v>
      </c>
      <c r="AB405" s="6">
        <v>13</v>
      </c>
      <c r="AC405" s="5"/>
      <c r="AD405" s="5"/>
      <c r="AE405" s="5"/>
      <c r="AF405" s="6">
        <v>4</v>
      </c>
      <c r="AG405" s="6">
        <v>2</v>
      </c>
      <c r="AH405" s="5"/>
      <c r="AI405" s="5"/>
      <c r="AJ405" s="6">
        <v>2</v>
      </c>
      <c r="AK405" s="6">
        <v>7</v>
      </c>
      <c r="AL405" s="6">
        <v>212</v>
      </c>
    </row>
    <row r="406" spans="1:38" ht="11.1" customHeight="1" x14ac:dyDescent="0.2">
      <c r="A406" s="4" t="s">
        <v>843</v>
      </c>
      <c r="B406" s="4" t="s">
        <v>844</v>
      </c>
      <c r="C406" s="4" t="s">
        <v>1578</v>
      </c>
      <c r="D406" s="4">
        <v>15</v>
      </c>
      <c r="E406" s="6">
        <v>1</v>
      </c>
      <c r="F406" s="6">
        <v>7</v>
      </c>
      <c r="G406" s="5"/>
      <c r="H406" s="6">
        <v>8</v>
      </c>
      <c r="I406" s="6">
        <v>6</v>
      </c>
      <c r="J406" s="6">
        <v>14</v>
      </c>
      <c r="K406" s="6">
        <v>2</v>
      </c>
      <c r="L406" s="6">
        <v>2</v>
      </c>
      <c r="M406" s="5"/>
      <c r="N406" s="6">
        <v>2</v>
      </c>
      <c r="O406" s="5"/>
      <c r="P406" s="6">
        <v>2</v>
      </c>
      <c r="Q406" s="5"/>
      <c r="R406" s="5"/>
      <c r="S406" s="6">
        <v>1</v>
      </c>
      <c r="T406" s="6">
        <v>1</v>
      </c>
      <c r="U406" s="6">
        <v>7</v>
      </c>
      <c r="V406" s="5"/>
      <c r="W406" s="5"/>
      <c r="X406" s="6">
        <v>2</v>
      </c>
      <c r="Y406" s="5"/>
      <c r="Z406" s="6">
        <v>4</v>
      </c>
      <c r="AA406" s="6">
        <v>9</v>
      </c>
      <c r="AB406" s="6">
        <v>1</v>
      </c>
      <c r="AC406" s="5"/>
      <c r="AD406" s="6">
        <v>1</v>
      </c>
      <c r="AE406" s="5"/>
      <c r="AF406" s="5"/>
      <c r="AG406" s="5"/>
      <c r="AH406" s="5"/>
      <c r="AI406" s="5"/>
      <c r="AJ406" s="5"/>
      <c r="AK406" s="5"/>
      <c r="AL406" s="6">
        <v>70</v>
      </c>
    </row>
    <row r="407" spans="1:38" ht="11.1" customHeight="1" x14ac:dyDescent="0.2">
      <c r="A407" s="4" t="s">
        <v>845</v>
      </c>
      <c r="B407" s="4" t="s">
        <v>846</v>
      </c>
      <c r="C407" s="4" t="s">
        <v>1579</v>
      </c>
      <c r="D407" s="4">
        <v>5</v>
      </c>
      <c r="E407" s="5"/>
      <c r="F407" s="6">
        <v>1</v>
      </c>
      <c r="G407" s="5"/>
      <c r="H407" s="5"/>
      <c r="I407" s="6">
        <v>1</v>
      </c>
      <c r="J407" s="5"/>
      <c r="K407" s="5"/>
      <c r="L407" s="5"/>
      <c r="M407" s="6">
        <v>2</v>
      </c>
      <c r="N407" s="6">
        <v>2</v>
      </c>
      <c r="O407" s="5"/>
      <c r="P407" s="6">
        <v>2</v>
      </c>
      <c r="Q407" s="5"/>
      <c r="R407" s="5"/>
      <c r="S407" s="6">
        <v>3</v>
      </c>
      <c r="T407" s="6">
        <v>2</v>
      </c>
      <c r="U407" s="6">
        <v>3</v>
      </c>
      <c r="V407" s="5"/>
      <c r="W407" s="5"/>
      <c r="X407" s="5"/>
      <c r="Y407" s="5"/>
      <c r="Z407" s="5"/>
      <c r="AA407" s="6">
        <v>1</v>
      </c>
      <c r="AB407" s="6">
        <v>2</v>
      </c>
      <c r="AC407" s="5"/>
      <c r="AD407" s="5"/>
      <c r="AE407" s="5"/>
      <c r="AF407" s="5"/>
      <c r="AG407" s="5"/>
      <c r="AH407" s="5"/>
      <c r="AI407" s="5"/>
      <c r="AJ407" s="5"/>
      <c r="AK407" s="6">
        <v>1</v>
      </c>
      <c r="AL407" s="6">
        <v>20</v>
      </c>
    </row>
    <row r="408" spans="1:38" ht="11.1" customHeight="1" x14ac:dyDescent="0.2">
      <c r="A408" s="4" t="s">
        <v>847</v>
      </c>
      <c r="B408" s="4" t="s">
        <v>848</v>
      </c>
      <c r="C408" s="4" t="s">
        <v>1580</v>
      </c>
      <c r="D408" s="4">
        <v>20</v>
      </c>
      <c r="E408" s="6">
        <v>698</v>
      </c>
      <c r="F408" s="6">
        <v>216</v>
      </c>
      <c r="G408" s="7">
        <v>1244</v>
      </c>
      <c r="H408" s="7">
        <v>1291</v>
      </c>
      <c r="I408" s="7">
        <v>2517</v>
      </c>
      <c r="J408" s="7">
        <v>2065</v>
      </c>
      <c r="K408" s="7">
        <v>2287</v>
      </c>
      <c r="L408" s="7">
        <v>2678</v>
      </c>
      <c r="M408" s="7">
        <v>2751</v>
      </c>
      <c r="N408" s="7">
        <v>2211</v>
      </c>
      <c r="O408" s="7">
        <v>2400</v>
      </c>
      <c r="P408" s="7">
        <v>1365</v>
      </c>
      <c r="Q408" s="7">
        <v>1575</v>
      </c>
      <c r="R408" s="7">
        <v>1564</v>
      </c>
      <c r="S408" s="7">
        <v>1184</v>
      </c>
      <c r="T408" s="7">
        <v>1323</v>
      </c>
      <c r="U408" s="7">
        <v>1892</v>
      </c>
      <c r="V408" s="7">
        <v>1507</v>
      </c>
      <c r="W408" s="7">
        <v>1038</v>
      </c>
      <c r="X408" s="7">
        <v>1761</v>
      </c>
      <c r="Y408" s="7">
        <v>1491</v>
      </c>
      <c r="Z408" s="6">
        <v>897</v>
      </c>
      <c r="AA408" s="7">
        <v>1172</v>
      </c>
      <c r="AB408" s="7">
        <v>1185</v>
      </c>
      <c r="AC408" s="7">
        <v>1043</v>
      </c>
      <c r="AD408" s="6">
        <v>681</v>
      </c>
      <c r="AE408" s="6">
        <v>822</v>
      </c>
      <c r="AF408" s="6">
        <v>861</v>
      </c>
      <c r="AG408" s="6">
        <v>619</v>
      </c>
      <c r="AH408" s="7">
        <v>1002</v>
      </c>
      <c r="AI408" s="7">
        <v>1675</v>
      </c>
      <c r="AJ408" s="7">
        <v>1107</v>
      </c>
      <c r="AK408" s="6">
        <v>495</v>
      </c>
      <c r="AL408" s="7">
        <v>46617</v>
      </c>
    </row>
    <row r="409" spans="1:38" ht="11.1" customHeight="1" x14ac:dyDescent="0.2">
      <c r="A409" s="4" t="s">
        <v>849</v>
      </c>
      <c r="B409" s="4" t="s">
        <v>850</v>
      </c>
      <c r="C409" s="4" t="s">
        <v>1581</v>
      </c>
      <c r="D409" s="4">
        <v>15</v>
      </c>
      <c r="E409" s="6">
        <v>589</v>
      </c>
      <c r="F409" s="6">
        <v>424</v>
      </c>
      <c r="G409" s="6">
        <v>687</v>
      </c>
      <c r="H409" s="6">
        <v>820</v>
      </c>
      <c r="I409" s="6">
        <v>785</v>
      </c>
      <c r="J409" s="7">
        <v>1082</v>
      </c>
      <c r="K409" s="6">
        <v>435</v>
      </c>
      <c r="L409" s="6">
        <v>983</v>
      </c>
      <c r="M409" s="6">
        <v>696</v>
      </c>
      <c r="N409" s="6">
        <v>485</v>
      </c>
      <c r="O409" s="6">
        <v>634</v>
      </c>
      <c r="P409" s="6">
        <v>544</v>
      </c>
      <c r="Q409" s="6">
        <v>298</v>
      </c>
      <c r="R409" s="6">
        <v>572</v>
      </c>
      <c r="S409" s="6">
        <v>414</v>
      </c>
      <c r="T409" s="6">
        <v>782</v>
      </c>
      <c r="U409" s="6">
        <v>506</v>
      </c>
      <c r="V409" s="6">
        <v>421</v>
      </c>
      <c r="W409" s="6">
        <v>513</v>
      </c>
      <c r="X409" s="6">
        <v>787</v>
      </c>
      <c r="Y409" s="6">
        <v>402</v>
      </c>
      <c r="Z409" s="6">
        <v>381</v>
      </c>
      <c r="AA409" s="6">
        <v>479</v>
      </c>
      <c r="AB409" s="6">
        <v>459</v>
      </c>
      <c r="AC409" s="6">
        <v>407</v>
      </c>
      <c r="AD409" s="6">
        <v>377</v>
      </c>
      <c r="AE409" s="6">
        <v>242</v>
      </c>
      <c r="AF409" s="6">
        <v>780</v>
      </c>
      <c r="AG409" s="6">
        <v>556</v>
      </c>
      <c r="AH409" s="6">
        <v>481</v>
      </c>
      <c r="AI409" s="6">
        <v>717</v>
      </c>
      <c r="AJ409" s="6">
        <v>586</v>
      </c>
      <c r="AK409" s="6">
        <v>400</v>
      </c>
      <c r="AL409" s="7">
        <v>18724</v>
      </c>
    </row>
    <row r="410" spans="1:38" ht="11.1" customHeight="1" x14ac:dyDescent="0.2">
      <c r="A410" s="4" t="s">
        <v>851</v>
      </c>
      <c r="B410" s="4" t="s">
        <v>852</v>
      </c>
      <c r="C410" s="4" t="s">
        <v>1582</v>
      </c>
      <c r="D410" s="4">
        <v>20</v>
      </c>
      <c r="E410" s="5"/>
      <c r="F410" s="6">
        <v>27</v>
      </c>
      <c r="G410" s="6">
        <v>147</v>
      </c>
      <c r="H410" s="6">
        <v>143</v>
      </c>
      <c r="I410" s="6">
        <v>71</v>
      </c>
      <c r="J410" s="6">
        <v>89</v>
      </c>
      <c r="K410" s="6">
        <v>36</v>
      </c>
      <c r="L410" s="6">
        <v>73</v>
      </c>
      <c r="M410" s="6">
        <v>39</v>
      </c>
      <c r="N410" s="6">
        <v>25</v>
      </c>
      <c r="O410" s="6">
        <v>44</v>
      </c>
      <c r="P410" s="6">
        <v>36</v>
      </c>
      <c r="Q410" s="6">
        <v>11</v>
      </c>
      <c r="R410" s="6">
        <v>111</v>
      </c>
      <c r="S410" s="6">
        <v>70</v>
      </c>
      <c r="T410" s="6">
        <v>72</v>
      </c>
      <c r="U410" s="6">
        <v>66</v>
      </c>
      <c r="V410" s="6">
        <v>87</v>
      </c>
      <c r="W410" s="6">
        <v>21</v>
      </c>
      <c r="X410" s="6">
        <v>299</v>
      </c>
      <c r="Y410" s="6">
        <v>45</v>
      </c>
      <c r="Z410" s="6">
        <v>38</v>
      </c>
      <c r="AA410" s="6">
        <v>63</v>
      </c>
      <c r="AB410" s="6">
        <v>23</v>
      </c>
      <c r="AC410" s="6">
        <v>84</v>
      </c>
      <c r="AD410" s="6">
        <v>30</v>
      </c>
      <c r="AE410" s="6">
        <v>50</v>
      </c>
      <c r="AF410" s="6">
        <v>46</v>
      </c>
      <c r="AG410" s="6">
        <v>-12</v>
      </c>
      <c r="AH410" s="6">
        <v>76</v>
      </c>
      <c r="AI410" s="6">
        <v>41</v>
      </c>
      <c r="AJ410" s="6">
        <v>76</v>
      </c>
      <c r="AK410" s="6">
        <v>24</v>
      </c>
      <c r="AL410" s="7">
        <v>2051</v>
      </c>
    </row>
    <row r="411" spans="1:38" ht="11.1" customHeight="1" x14ac:dyDescent="0.2">
      <c r="A411" s="4" t="s">
        <v>853</v>
      </c>
      <c r="B411" s="4" t="s">
        <v>854</v>
      </c>
      <c r="C411" s="4" t="s">
        <v>1583</v>
      </c>
      <c r="D411" s="4">
        <v>15</v>
      </c>
      <c r="E411" s="6">
        <v>364</v>
      </c>
      <c r="F411" s="6">
        <v>499</v>
      </c>
      <c r="G411" s="6">
        <v>708</v>
      </c>
      <c r="H411" s="6">
        <v>775</v>
      </c>
      <c r="I411" s="6">
        <v>453</v>
      </c>
      <c r="J411" s="6">
        <v>572</v>
      </c>
      <c r="K411" s="6">
        <v>253</v>
      </c>
      <c r="L411" s="6">
        <v>605</v>
      </c>
      <c r="M411" s="6">
        <v>514</v>
      </c>
      <c r="N411" s="6">
        <v>270</v>
      </c>
      <c r="O411" s="6">
        <v>383</v>
      </c>
      <c r="P411" s="6">
        <v>277</v>
      </c>
      <c r="Q411" s="6">
        <v>229</v>
      </c>
      <c r="R411" s="6">
        <v>462</v>
      </c>
      <c r="S411" s="6">
        <v>218</v>
      </c>
      <c r="T411" s="6">
        <v>361</v>
      </c>
      <c r="U411" s="6">
        <v>105</v>
      </c>
      <c r="V411" s="6">
        <v>285</v>
      </c>
      <c r="W411" s="6">
        <v>336</v>
      </c>
      <c r="X411" s="6">
        <v>520</v>
      </c>
      <c r="Y411" s="6">
        <v>368</v>
      </c>
      <c r="Z411" s="6">
        <v>317</v>
      </c>
      <c r="AA411" s="6">
        <v>281</v>
      </c>
      <c r="AB411" s="6">
        <v>254</v>
      </c>
      <c r="AC411" s="6">
        <v>210</v>
      </c>
      <c r="AD411" s="6">
        <v>121</v>
      </c>
      <c r="AE411" s="6">
        <v>161</v>
      </c>
      <c r="AF411" s="6">
        <v>371</v>
      </c>
      <c r="AG411" s="6">
        <v>244</v>
      </c>
      <c r="AH411" s="6">
        <v>262</v>
      </c>
      <c r="AI411" s="6">
        <v>279</v>
      </c>
      <c r="AJ411" s="6">
        <v>293</v>
      </c>
      <c r="AK411" s="6">
        <v>246</v>
      </c>
      <c r="AL411" s="7">
        <v>11596</v>
      </c>
    </row>
    <row r="412" spans="1:38" ht="11.1" customHeight="1" x14ac:dyDescent="0.2">
      <c r="A412" s="4" t="s">
        <v>855</v>
      </c>
      <c r="B412" s="4" t="s">
        <v>856</v>
      </c>
      <c r="C412" s="4" t="s">
        <v>1584</v>
      </c>
      <c r="D412" s="4">
        <v>20</v>
      </c>
      <c r="E412" s="6">
        <v>35</v>
      </c>
      <c r="F412" s="6">
        <v>13</v>
      </c>
      <c r="G412" s="6">
        <v>383</v>
      </c>
      <c r="H412" s="6">
        <v>819</v>
      </c>
      <c r="I412" s="7">
        <v>1751</v>
      </c>
      <c r="J412" s="6">
        <v>914</v>
      </c>
      <c r="K412" s="7">
        <v>1326</v>
      </c>
      <c r="L412" s="7">
        <v>1534</v>
      </c>
      <c r="M412" s="7">
        <v>1121</v>
      </c>
      <c r="N412" s="7">
        <v>1280</v>
      </c>
      <c r="O412" s="7">
        <v>1003</v>
      </c>
      <c r="P412" s="6">
        <v>738</v>
      </c>
      <c r="Q412" s="6">
        <v>922</v>
      </c>
      <c r="R412" s="6">
        <v>948</v>
      </c>
      <c r="S412" s="6">
        <v>610</v>
      </c>
      <c r="T412" s="6">
        <v>890</v>
      </c>
      <c r="U412" s="7">
        <v>1030</v>
      </c>
      <c r="V412" s="6">
        <v>719</v>
      </c>
      <c r="W412" s="6">
        <v>550</v>
      </c>
      <c r="X412" s="6">
        <v>923</v>
      </c>
      <c r="Y412" s="6">
        <v>830</v>
      </c>
      <c r="Z412" s="6">
        <v>382</v>
      </c>
      <c r="AA412" s="6">
        <v>559</v>
      </c>
      <c r="AB412" s="6">
        <v>802</v>
      </c>
      <c r="AC412" s="6">
        <v>573</v>
      </c>
      <c r="AD412" s="6">
        <v>457</v>
      </c>
      <c r="AE412" s="6">
        <v>241</v>
      </c>
      <c r="AF412" s="6">
        <v>423</v>
      </c>
      <c r="AG412" s="6">
        <v>374</v>
      </c>
      <c r="AH412" s="6">
        <v>586</v>
      </c>
      <c r="AI412" s="6">
        <v>624</v>
      </c>
      <c r="AJ412" s="6">
        <v>660</v>
      </c>
      <c r="AK412" s="6">
        <v>275</v>
      </c>
      <c r="AL412" s="7">
        <v>24295</v>
      </c>
    </row>
    <row r="413" spans="1:38" ht="11.1" customHeight="1" x14ac:dyDescent="0.2">
      <c r="A413" s="4" t="s">
        <v>857</v>
      </c>
      <c r="B413" s="4" t="s">
        <v>858</v>
      </c>
      <c r="C413" s="4" t="s">
        <v>1585</v>
      </c>
      <c r="D413" s="4">
        <v>20</v>
      </c>
      <c r="E413" s="5"/>
      <c r="F413" s="6">
        <v>6</v>
      </c>
      <c r="G413" s="6">
        <v>75</v>
      </c>
      <c r="H413" s="6">
        <v>96</v>
      </c>
      <c r="I413" s="6">
        <v>42</v>
      </c>
      <c r="J413" s="6">
        <v>65</v>
      </c>
      <c r="K413" s="6">
        <v>35</v>
      </c>
      <c r="L413" s="6">
        <v>48</v>
      </c>
      <c r="M413" s="6">
        <v>98</v>
      </c>
      <c r="N413" s="6">
        <v>6</v>
      </c>
      <c r="O413" s="6">
        <v>5</v>
      </c>
      <c r="P413" s="6">
        <v>14</v>
      </c>
      <c r="Q413" s="6">
        <v>51</v>
      </c>
      <c r="R413" s="6">
        <v>114</v>
      </c>
      <c r="S413" s="6">
        <v>22</v>
      </c>
      <c r="T413" s="6">
        <v>102</v>
      </c>
      <c r="U413" s="6">
        <v>45</v>
      </c>
      <c r="V413" s="6">
        <v>45</v>
      </c>
      <c r="W413" s="6">
        <v>7</v>
      </c>
      <c r="X413" s="6">
        <v>26</v>
      </c>
      <c r="Y413" s="6">
        <v>65</v>
      </c>
      <c r="Z413" s="6">
        <v>14</v>
      </c>
      <c r="AA413" s="6">
        <v>19</v>
      </c>
      <c r="AB413" s="6">
        <v>16</v>
      </c>
      <c r="AC413" s="6">
        <v>36</v>
      </c>
      <c r="AD413" s="6">
        <v>30</v>
      </c>
      <c r="AE413" s="6">
        <v>27</v>
      </c>
      <c r="AF413" s="6">
        <v>12</v>
      </c>
      <c r="AG413" s="6">
        <v>44</v>
      </c>
      <c r="AH413" s="6">
        <v>31</v>
      </c>
      <c r="AI413" s="6">
        <v>49</v>
      </c>
      <c r="AJ413" s="6">
        <v>29</v>
      </c>
      <c r="AK413" s="6">
        <v>16</v>
      </c>
      <c r="AL413" s="7">
        <v>1290</v>
      </c>
    </row>
    <row r="414" spans="1:38" ht="11.1" customHeight="1" x14ac:dyDescent="0.2">
      <c r="A414" s="4" t="s">
        <v>859</v>
      </c>
      <c r="B414" s="4" t="s">
        <v>860</v>
      </c>
      <c r="C414" s="4" t="s">
        <v>1586</v>
      </c>
      <c r="D414" s="4">
        <v>20</v>
      </c>
      <c r="E414" s="6">
        <v>9</v>
      </c>
      <c r="F414" s="6">
        <v>27</v>
      </c>
      <c r="G414" s="6">
        <v>71</v>
      </c>
      <c r="H414" s="6">
        <v>80</v>
      </c>
      <c r="I414" s="6">
        <v>164</v>
      </c>
      <c r="J414" s="6">
        <v>85</v>
      </c>
      <c r="K414" s="6">
        <v>80</v>
      </c>
      <c r="L414" s="6">
        <v>418</v>
      </c>
      <c r="M414" s="6">
        <v>85</v>
      </c>
      <c r="N414" s="6">
        <v>77</v>
      </c>
      <c r="O414" s="6">
        <v>91</v>
      </c>
      <c r="P414" s="6">
        <v>102</v>
      </c>
      <c r="Q414" s="6">
        <v>77</v>
      </c>
      <c r="R414" s="6">
        <v>117</v>
      </c>
      <c r="S414" s="6">
        <v>139</v>
      </c>
      <c r="T414" s="6">
        <v>45</v>
      </c>
      <c r="U414" s="6">
        <v>119</v>
      </c>
      <c r="V414" s="6">
        <v>65</v>
      </c>
      <c r="W414" s="6">
        <v>68</v>
      </c>
      <c r="X414" s="6">
        <v>77</v>
      </c>
      <c r="Y414" s="6">
        <v>57</v>
      </c>
      <c r="Z414" s="6">
        <v>23</v>
      </c>
      <c r="AA414" s="6">
        <v>38</v>
      </c>
      <c r="AB414" s="6">
        <v>73</v>
      </c>
      <c r="AC414" s="6">
        <v>15</v>
      </c>
      <c r="AD414" s="6">
        <v>28</v>
      </c>
      <c r="AE414" s="6">
        <v>67</v>
      </c>
      <c r="AF414" s="6">
        <v>41</v>
      </c>
      <c r="AG414" s="6">
        <v>52</v>
      </c>
      <c r="AH414" s="6">
        <v>53</v>
      </c>
      <c r="AI414" s="6">
        <v>45</v>
      </c>
      <c r="AJ414" s="6">
        <v>84</v>
      </c>
      <c r="AK414" s="6">
        <v>29</v>
      </c>
      <c r="AL414" s="7">
        <v>2601</v>
      </c>
    </row>
    <row r="415" spans="1:38" ht="11.1" customHeight="1" x14ac:dyDescent="0.2">
      <c r="A415" s="4" t="s">
        <v>861</v>
      </c>
      <c r="B415" s="4" t="s">
        <v>862</v>
      </c>
      <c r="C415" s="4" t="s">
        <v>1587</v>
      </c>
      <c r="D415" s="4">
        <v>1</v>
      </c>
      <c r="E415" s="6">
        <v>1</v>
      </c>
      <c r="F415" s="5"/>
      <c r="G415" s="6">
        <v>1</v>
      </c>
      <c r="H415" s="6">
        <v>3</v>
      </c>
      <c r="I415" s="6">
        <v>8</v>
      </c>
      <c r="J415" s="5"/>
      <c r="K415" s="6">
        <v>5</v>
      </c>
      <c r="L415" s="6">
        <v>13</v>
      </c>
      <c r="M415" s="6">
        <v>6</v>
      </c>
      <c r="N415" s="6">
        <v>9</v>
      </c>
      <c r="O415" s="6">
        <v>-2</v>
      </c>
      <c r="P415" s="6">
        <v>4</v>
      </c>
      <c r="Q415" s="5"/>
      <c r="R415" s="6">
        <v>1</v>
      </c>
      <c r="S415" s="6">
        <v>1</v>
      </c>
      <c r="T415" s="6">
        <v>1</v>
      </c>
      <c r="U415" s="6">
        <v>1</v>
      </c>
      <c r="V415" s="5"/>
      <c r="W415" s="6">
        <v>-1</v>
      </c>
      <c r="X415" s="6">
        <v>3</v>
      </c>
      <c r="Y415" s="6">
        <v>9</v>
      </c>
      <c r="Z415" s="6">
        <v>3</v>
      </c>
      <c r="AA415" s="5"/>
      <c r="AB415" s="6">
        <v>3</v>
      </c>
      <c r="AC415" s="6">
        <v>2</v>
      </c>
      <c r="AD415" s="6">
        <v>5</v>
      </c>
      <c r="AE415" s="5"/>
      <c r="AF415" s="5"/>
      <c r="AG415" s="6">
        <v>1</v>
      </c>
      <c r="AH415" s="5"/>
      <c r="AI415" s="6">
        <v>1</v>
      </c>
      <c r="AJ415" s="5"/>
      <c r="AK415" s="6">
        <v>1</v>
      </c>
      <c r="AL415" s="6">
        <v>79</v>
      </c>
    </row>
    <row r="416" spans="1:38" ht="11.1" customHeight="1" x14ac:dyDescent="0.2">
      <c r="A416" s="4" t="s">
        <v>863</v>
      </c>
      <c r="B416" s="4" t="s">
        <v>864</v>
      </c>
      <c r="C416" s="4" t="s">
        <v>1588</v>
      </c>
      <c r="D416" s="4">
        <v>10</v>
      </c>
      <c r="E416" s="6">
        <v>258</v>
      </c>
      <c r="F416" s="6">
        <v>443</v>
      </c>
      <c r="G416" s="6">
        <v>634</v>
      </c>
      <c r="H416" s="6">
        <v>394</v>
      </c>
      <c r="I416" s="6">
        <v>604</v>
      </c>
      <c r="J416" s="6">
        <v>392</v>
      </c>
      <c r="K416" s="6">
        <v>495</v>
      </c>
      <c r="L416" s="6">
        <v>376</v>
      </c>
      <c r="M416" s="6">
        <v>657</v>
      </c>
      <c r="N416" s="6">
        <v>270</v>
      </c>
      <c r="O416" s="6">
        <v>460</v>
      </c>
      <c r="P416" s="6">
        <v>381</v>
      </c>
      <c r="Q416" s="6">
        <v>342</v>
      </c>
      <c r="R416" s="6">
        <v>372</v>
      </c>
      <c r="S416" s="6">
        <v>211</v>
      </c>
      <c r="T416" s="6">
        <v>219</v>
      </c>
      <c r="U416" s="6">
        <v>309</v>
      </c>
      <c r="V416" s="6">
        <v>386</v>
      </c>
      <c r="W416" s="6">
        <v>226</v>
      </c>
      <c r="X416" s="6">
        <v>280</v>
      </c>
      <c r="Y416" s="6">
        <v>152</v>
      </c>
      <c r="Z416" s="6">
        <v>138</v>
      </c>
      <c r="AA416" s="6">
        <v>127</v>
      </c>
      <c r="AB416" s="6">
        <v>129</v>
      </c>
      <c r="AC416" s="6">
        <v>135</v>
      </c>
      <c r="AD416" s="6">
        <v>187</v>
      </c>
      <c r="AE416" s="6">
        <v>179</v>
      </c>
      <c r="AF416" s="6">
        <v>103</v>
      </c>
      <c r="AG416" s="6">
        <v>188</v>
      </c>
      <c r="AH416" s="6">
        <v>245</v>
      </c>
      <c r="AI416" s="6">
        <v>98</v>
      </c>
      <c r="AJ416" s="6">
        <v>193</v>
      </c>
      <c r="AK416" s="6">
        <v>91</v>
      </c>
      <c r="AL416" s="7">
        <v>9674</v>
      </c>
    </row>
    <row r="417" spans="1:38" ht="11.1" customHeight="1" x14ac:dyDescent="0.2">
      <c r="A417" s="4" t="s">
        <v>865</v>
      </c>
      <c r="B417" s="4" t="s">
        <v>866</v>
      </c>
      <c r="C417" s="4" t="s">
        <v>1589</v>
      </c>
      <c r="D417" s="4">
        <v>20</v>
      </c>
      <c r="E417" s="6">
        <v>156</v>
      </c>
      <c r="F417" s="6">
        <v>28</v>
      </c>
      <c r="G417" s="6">
        <v>205</v>
      </c>
      <c r="H417" s="6">
        <v>285</v>
      </c>
      <c r="I417" s="6">
        <v>281</v>
      </c>
      <c r="J417" s="6">
        <v>408</v>
      </c>
      <c r="K417" s="6">
        <v>434</v>
      </c>
      <c r="L417" s="6">
        <v>454</v>
      </c>
      <c r="M417" s="6">
        <v>400</v>
      </c>
      <c r="N417" s="6">
        <v>593</v>
      </c>
      <c r="O417" s="6">
        <v>477</v>
      </c>
      <c r="P417" s="6">
        <v>287</v>
      </c>
      <c r="Q417" s="6">
        <v>245</v>
      </c>
      <c r="R417" s="6">
        <v>356</v>
      </c>
      <c r="S417" s="6">
        <v>223</v>
      </c>
      <c r="T417" s="6">
        <v>211</v>
      </c>
      <c r="U417" s="6">
        <v>322</v>
      </c>
      <c r="V417" s="6">
        <v>297</v>
      </c>
      <c r="W417" s="6">
        <v>335</v>
      </c>
      <c r="X417" s="6">
        <v>290</v>
      </c>
      <c r="Y417" s="6">
        <v>279</v>
      </c>
      <c r="Z417" s="6">
        <v>177</v>
      </c>
      <c r="AA417" s="6">
        <v>184</v>
      </c>
      <c r="AB417" s="6">
        <v>140</v>
      </c>
      <c r="AC417" s="6">
        <v>212</v>
      </c>
      <c r="AD417" s="6">
        <v>95</v>
      </c>
      <c r="AE417" s="6">
        <v>96</v>
      </c>
      <c r="AF417" s="6">
        <v>200</v>
      </c>
      <c r="AG417" s="6">
        <v>92</v>
      </c>
      <c r="AH417" s="6">
        <v>193</v>
      </c>
      <c r="AI417" s="6">
        <v>71</v>
      </c>
      <c r="AJ417" s="6">
        <v>198</v>
      </c>
      <c r="AK417" s="6">
        <v>52</v>
      </c>
      <c r="AL417" s="7">
        <v>8276</v>
      </c>
    </row>
    <row r="418" spans="1:38" ht="11.1" customHeight="1" x14ac:dyDescent="0.2">
      <c r="A418" s="4" t="s">
        <v>867</v>
      </c>
      <c r="B418" s="4" t="s">
        <v>868</v>
      </c>
      <c r="C418" s="4" t="s">
        <v>1590</v>
      </c>
      <c r="D418" s="4">
        <v>20</v>
      </c>
      <c r="E418" s="5"/>
      <c r="F418" s="6">
        <v>4</v>
      </c>
      <c r="G418" s="5"/>
      <c r="H418" s="6">
        <v>5</v>
      </c>
      <c r="I418" s="6">
        <v>7</v>
      </c>
      <c r="J418" s="6">
        <v>11</v>
      </c>
      <c r="K418" s="6">
        <v>5</v>
      </c>
      <c r="L418" s="5"/>
      <c r="M418" s="6">
        <v>10</v>
      </c>
      <c r="N418" s="6">
        <v>2</v>
      </c>
      <c r="O418" s="5"/>
      <c r="P418" s="6">
        <v>1</v>
      </c>
      <c r="Q418" s="5"/>
      <c r="R418" s="5"/>
      <c r="S418" s="6">
        <v>10</v>
      </c>
      <c r="T418" s="6">
        <v>8</v>
      </c>
      <c r="U418" s="6">
        <v>12</v>
      </c>
      <c r="V418" s="6">
        <v>4</v>
      </c>
      <c r="W418" s="5"/>
      <c r="X418" s="6">
        <v>-20</v>
      </c>
      <c r="Y418" s="6">
        <v>2</v>
      </c>
      <c r="Z418" s="5"/>
      <c r="AA418" s="6">
        <v>4</v>
      </c>
      <c r="AB418" s="6">
        <v>4</v>
      </c>
      <c r="AC418" s="6">
        <v>10</v>
      </c>
      <c r="AD418" s="5"/>
      <c r="AE418" s="5"/>
      <c r="AF418" s="5"/>
      <c r="AG418" s="6">
        <v>18</v>
      </c>
      <c r="AH418" s="6">
        <v>4</v>
      </c>
      <c r="AI418" s="5"/>
      <c r="AJ418" s="6">
        <v>4</v>
      </c>
      <c r="AK418" s="5"/>
      <c r="AL418" s="6">
        <v>105</v>
      </c>
    </row>
    <row r="419" spans="1:38" ht="11.1" customHeight="1" x14ac:dyDescent="0.2">
      <c r="A419" s="4" t="s">
        <v>869</v>
      </c>
      <c r="B419" s="4" t="s">
        <v>870</v>
      </c>
      <c r="C419" s="4" t="s">
        <v>1591</v>
      </c>
      <c r="D419" s="4">
        <v>5</v>
      </c>
      <c r="E419" s="6">
        <v>1</v>
      </c>
      <c r="F419" s="6">
        <v>2</v>
      </c>
      <c r="G419" s="6">
        <v>73</v>
      </c>
      <c r="H419" s="6">
        <v>65</v>
      </c>
      <c r="I419" s="6">
        <v>75</v>
      </c>
      <c r="J419" s="6">
        <v>113</v>
      </c>
      <c r="K419" s="6">
        <v>24</v>
      </c>
      <c r="L419" s="6">
        <v>107</v>
      </c>
      <c r="M419" s="6">
        <v>78</v>
      </c>
      <c r="N419" s="6">
        <v>47</v>
      </c>
      <c r="O419" s="6">
        <v>54</v>
      </c>
      <c r="P419" s="6">
        <v>37</v>
      </c>
      <c r="Q419" s="6">
        <v>15</v>
      </c>
      <c r="R419" s="6">
        <v>53</v>
      </c>
      <c r="S419" s="6">
        <v>22</v>
      </c>
      <c r="T419" s="6">
        <v>23</v>
      </c>
      <c r="U419" s="6">
        <v>69</v>
      </c>
      <c r="V419" s="6">
        <v>37</v>
      </c>
      <c r="W419" s="6">
        <v>46</v>
      </c>
      <c r="X419" s="6">
        <v>7</v>
      </c>
      <c r="Y419" s="6">
        <v>23</v>
      </c>
      <c r="Z419" s="6">
        <v>35</v>
      </c>
      <c r="AA419" s="6">
        <v>73</v>
      </c>
      <c r="AB419" s="6">
        <v>30</v>
      </c>
      <c r="AC419" s="6">
        <v>51</v>
      </c>
      <c r="AD419" s="6">
        <v>7</v>
      </c>
      <c r="AE419" s="6">
        <v>10</v>
      </c>
      <c r="AF419" s="6">
        <v>38</v>
      </c>
      <c r="AG419" s="6">
        <v>26</v>
      </c>
      <c r="AH419" s="6">
        <v>44</v>
      </c>
      <c r="AI419" s="6">
        <v>35</v>
      </c>
      <c r="AJ419" s="6">
        <v>56</v>
      </c>
      <c r="AK419" s="6">
        <v>32</v>
      </c>
      <c r="AL419" s="7">
        <v>1408</v>
      </c>
    </row>
    <row r="420" spans="1:38" ht="11.1" customHeight="1" x14ac:dyDescent="0.2">
      <c r="A420" s="4" t="s">
        <v>871</v>
      </c>
      <c r="B420" s="4" t="s">
        <v>872</v>
      </c>
      <c r="C420" s="4" t="s">
        <v>1592</v>
      </c>
      <c r="D420" s="4">
        <v>15</v>
      </c>
      <c r="E420" s="6">
        <v>67</v>
      </c>
      <c r="F420" s="6">
        <v>911</v>
      </c>
      <c r="G420" s="6">
        <v>887</v>
      </c>
      <c r="H420" s="6">
        <v>704</v>
      </c>
      <c r="I420" s="6">
        <v>915</v>
      </c>
      <c r="J420" s="6">
        <v>673</v>
      </c>
      <c r="K420" s="7">
        <v>1085</v>
      </c>
      <c r="L420" s="7">
        <v>1473</v>
      </c>
      <c r="M420" s="7">
        <v>1166</v>
      </c>
      <c r="N420" s="7">
        <v>1073</v>
      </c>
      <c r="O420" s="6">
        <v>801</v>
      </c>
      <c r="P420" s="6">
        <v>490</v>
      </c>
      <c r="Q420" s="6">
        <v>740</v>
      </c>
      <c r="R420" s="6">
        <v>539</v>
      </c>
      <c r="S420" s="6">
        <v>693</v>
      </c>
      <c r="T420" s="6">
        <v>672</v>
      </c>
      <c r="U420" s="6">
        <v>681</v>
      </c>
      <c r="V420" s="6">
        <v>764</v>
      </c>
      <c r="W420" s="6">
        <v>848</v>
      </c>
      <c r="X420" s="6">
        <v>783</v>
      </c>
      <c r="Y420" s="6">
        <v>707</v>
      </c>
      <c r="Z420" s="6">
        <v>691</v>
      </c>
      <c r="AA420" s="6">
        <v>706</v>
      </c>
      <c r="AB420" s="6">
        <v>325</v>
      </c>
      <c r="AC420" s="6">
        <v>507</v>
      </c>
      <c r="AD420" s="6">
        <v>470</v>
      </c>
      <c r="AE420" s="6">
        <v>346</v>
      </c>
      <c r="AF420" s="6">
        <v>520</v>
      </c>
      <c r="AG420" s="6">
        <v>503</v>
      </c>
      <c r="AH420" s="6">
        <v>397</v>
      </c>
      <c r="AI420" s="6">
        <v>657</v>
      </c>
      <c r="AJ420" s="6">
        <v>521</v>
      </c>
      <c r="AK420" s="6">
        <v>332</v>
      </c>
      <c r="AL420" s="7">
        <v>22647</v>
      </c>
    </row>
    <row r="421" spans="1:38" ht="11.1" customHeight="1" x14ac:dyDescent="0.2">
      <c r="A421" s="4" t="s">
        <v>873</v>
      </c>
      <c r="B421" s="4" t="s">
        <v>874</v>
      </c>
      <c r="C421" s="4" t="s">
        <v>1593</v>
      </c>
      <c r="D421" s="4">
        <v>10</v>
      </c>
      <c r="E421" s="6">
        <v>52</v>
      </c>
      <c r="F421" s="6">
        <v>517</v>
      </c>
      <c r="G421" s="7">
        <v>1358</v>
      </c>
      <c r="H421" s="6">
        <v>954</v>
      </c>
      <c r="I421" s="7">
        <v>1092</v>
      </c>
      <c r="J421" s="6">
        <v>866</v>
      </c>
      <c r="K421" s="7">
        <v>1208</v>
      </c>
      <c r="L421" s="7">
        <v>1190</v>
      </c>
      <c r="M421" s="7">
        <v>1187</v>
      </c>
      <c r="N421" s="6">
        <v>889</v>
      </c>
      <c r="O421" s="6">
        <v>945</v>
      </c>
      <c r="P421" s="6">
        <v>915</v>
      </c>
      <c r="Q421" s="6">
        <v>663</v>
      </c>
      <c r="R421" s="6">
        <v>996</v>
      </c>
      <c r="S421" s="6">
        <v>515</v>
      </c>
      <c r="T421" s="7">
        <v>1002</v>
      </c>
      <c r="U421" s="7">
        <v>1078</v>
      </c>
      <c r="V421" s="6">
        <v>880</v>
      </c>
      <c r="W421" s="7">
        <v>1079</v>
      </c>
      <c r="X421" s="6">
        <v>751</v>
      </c>
      <c r="Y421" s="6">
        <v>686</v>
      </c>
      <c r="Z421" s="6">
        <v>720</v>
      </c>
      <c r="AA421" s="7">
        <v>1203</v>
      </c>
      <c r="AB421" s="6">
        <v>742</v>
      </c>
      <c r="AC421" s="6">
        <v>782</v>
      </c>
      <c r="AD421" s="6">
        <v>607</v>
      </c>
      <c r="AE421" s="6">
        <v>482</v>
      </c>
      <c r="AF421" s="6">
        <v>781</v>
      </c>
      <c r="AG421" s="6">
        <v>739</v>
      </c>
      <c r="AH421" s="6">
        <v>987</v>
      </c>
      <c r="AI421" s="7">
        <v>1275</v>
      </c>
      <c r="AJ421" s="7">
        <v>1367</v>
      </c>
      <c r="AK421" s="6">
        <v>333</v>
      </c>
      <c r="AL421" s="7">
        <v>28841</v>
      </c>
    </row>
    <row r="422" spans="1:38" ht="11.1" customHeight="1" x14ac:dyDescent="0.2">
      <c r="A422" s="4" t="s">
        <v>875</v>
      </c>
      <c r="B422" s="4" t="s">
        <v>876</v>
      </c>
      <c r="C422" s="4" t="s">
        <v>1594</v>
      </c>
      <c r="D422" s="4">
        <v>6</v>
      </c>
      <c r="E422" s="6">
        <v>4</v>
      </c>
      <c r="F422" s="6">
        <v>6</v>
      </c>
      <c r="G422" s="6">
        <v>6</v>
      </c>
      <c r="H422" s="6">
        <v>1</v>
      </c>
      <c r="I422" s="6">
        <v>3</v>
      </c>
      <c r="J422" s="6">
        <v>18</v>
      </c>
      <c r="K422" s="6">
        <v>1</v>
      </c>
      <c r="L422" s="6">
        <v>10</v>
      </c>
      <c r="M422" s="6">
        <v>20</v>
      </c>
      <c r="N422" s="5"/>
      <c r="O422" s="6">
        <v>1</v>
      </c>
      <c r="P422" s="5"/>
      <c r="Q422" s="5"/>
      <c r="R422" s="6">
        <v>4</v>
      </c>
      <c r="S422" s="5"/>
      <c r="T422" s="6">
        <v>2</v>
      </c>
      <c r="U422" s="6">
        <v>50</v>
      </c>
      <c r="V422" s="5"/>
      <c r="W422" s="6">
        <v>1</v>
      </c>
      <c r="X422" s="6">
        <v>7</v>
      </c>
      <c r="Y422" s="6">
        <v>-52</v>
      </c>
      <c r="Z422" s="6">
        <v>2</v>
      </c>
      <c r="AA422" s="6">
        <v>6</v>
      </c>
      <c r="AB422" s="6">
        <v>2</v>
      </c>
      <c r="AC422" s="5"/>
      <c r="AD422" s="5"/>
      <c r="AE422" s="6">
        <v>1</v>
      </c>
      <c r="AF422" s="5"/>
      <c r="AG422" s="5"/>
      <c r="AH422" s="5"/>
      <c r="AI422" s="5"/>
      <c r="AJ422" s="6">
        <v>2</v>
      </c>
      <c r="AK422" s="6">
        <v>1</v>
      </c>
      <c r="AL422" s="6">
        <v>96</v>
      </c>
    </row>
    <row r="423" spans="1:38" ht="11.1" customHeight="1" x14ac:dyDescent="0.2">
      <c r="A423" s="4" t="s">
        <v>877</v>
      </c>
      <c r="B423" s="4" t="s">
        <v>878</v>
      </c>
      <c r="C423" s="4" t="s">
        <v>1595</v>
      </c>
      <c r="D423" s="4">
        <v>10</v>
      </c>
      <c r="E423" s="6">
        <v>54</v>
      </c>
      <c r="F423" s="6">
        <v>59</v>
      </c>
      <c r="G423" s="6">
        <v>130</v>
      </c>
      <c r="H423" s="6">
        <v>61</v>
      </c>
      <c r="I423" s="6">
        <v>55</v>
      </c>
      <c r="J423" s="6">
        <v>60</v>
      </c>
      <c r="K423" s="6">
        <v>134</v>
      </c>
      <c r="L423" s="6">
        <v>223</v>
      </c>
      <c r="M423" s="6">
        <v>207</v>
      </c>
      <c r="N423" s="6">
        <v>61</v>
      </c>
      <c r="O423" s="6">
        <v>166</v>
      </c>
      <c r="P423" s="6">
        <v>56</v>
      </c>
      <c r="Q423" s="6">
        <v>25</v>
      </c>
      <c r="R423" s="6">
        <v>215</v>
      </c>
      <c r="S423" s="6">
        <v>55</v>
      </c>
      <c r="T423" s="6">
        <v>50</v>
      </c>
      <c r="U423" s="6">
        <v>56</v>
      </c>
      <c r="V423" s="6">
        <v>33</v>
      </c>
      <c r="W423" s="6">
        <v>64</v>
      </c>
      <c r="X423" s="6">
        <v>281</v>
      </c>
      <c r="Y423" s="6">
        <v>42</v>
      </c>
      <c r="Z423" s="6">
        <v>114</v>
      </c>
      <c r="AA423" s="6">
        <v>118</v>
      </c>
      <c r="AB423" s="6">
        <v>129</v>
      </c>
      <c r="AC423" s="6">
        <v>5</v>
      </c>
      <c r="AD423" s="6">
        <v>9</v>
      </c>
      <c r="AE423" s="6">
        <v>50</v>
      </c>
      <c r="AF423" s="6">
        <v>64</v>
      </c>
      <c r="AG423" s="6">
        <v>29</v>
      </c>
      <c r="AH423" s="6">
        <v>29</v>
      </c>
      <c r="AI423" s="6">
        <v>14</v>
      </c>
      <c r="AJ423" s="6">
        <v>49</v>
      </c>
      <c r="AK423" s="6">
        <v>92</v>
      </c>
      <c r="AL423" s="7">
        <v>2789</v>
      </c>
    </row>
    <row r="424" spans="1:38" ht="11.1" customHeight="1" x14ac:dyDescent="0.2">
      <c r="A424" s="4" t="s">
        <v>879</v>
      </c>
      <c r="B424" s="4" t="s">
        <v>880</v>
      </c>
      <c r="C424" s="4" t="s">
        <v>1596</v>
      </c>
      <c r="D424" s="4">
        <v>20</v>
      </c>
      <c r="E424" s="7">
        <v>3270</v>
      </c>
      <c r="F424" s="7">
        <v>5029</v>
      </c>
      <c r="G424" s="7">
        <v>6663</v>
      </c>
      <c r="H424" s="7">
        <v>8357</v>
      </c>
      <c r="I424" s="7">
        <v>10349</v>
      </c>
      <c r="J424" s="7">
        <v>8637</v>
      </c>
      <c r="K424" s="7">
        <v>11455</v>
      </c>
      <c r="L424" s="7">
        <v>11997</v>
      </c>
      <c r="M424" s="7">
        <v>10402</v>
      </c>
      <c r="N424" s="7">
        <v>11409</v>
      </c>
      <c r="O424" s="7">
        <v>8757</v>
      </c>
      <c r="P424" s="7">
        <v>8682</v>
      </c>
      <c r="Q424" s="7">
        <v>6557</v>
      </c>
      <c r="R424" s="7">
        <v>6663</v>
      </c>
      <c r="S424" s="7">
        <v>5776</v>
      </c>
      <c r="T424" s="7">
        <v>6383</v>
      </c>
      <c r="U424" s="7">
        <v>7671</v>
      </c>
      <c r="V424" s="7">
        <v>7033</v>
      </c>
      <c r="W424" s="7">
        <v>5770</v>
      </c>
      <c r="X424" s="7">
        <v>7503</v>
      </c>
      <c r="Y424" s="7">
        <v>6226</v>
      </c>
      <c r="Z424" s="7">
        <v>4152</v>
      </c>
      <c r="AA424" s="7">
        <v>5453</v>
      </c>
      <c r="AB424" s="7">
        <v>7214</v>
      </c>
      <c r="AC424" s="7">
        <v>4211</v>
      </c>
      <c r="AD424" s="7">
        <v>4627</v>
      </c>
      <c r="AE424" s="7">
        <v>4163</v>
      </c>
      <c r="AF424" s="7">
        <v>4744</v>
      </c>
      <c r="AG424" s="7">
        <v>3421</v>
      </c>
      <c r="AH424" s="7">
        <v>4661</v>
      </c>
      <c r="AI424" s="7">
        <v>6295</v>
      </c>
      <c r="AJ424" s="7">
        <v>5686</v>
      </c>
      <c r="AK424" s="7">
        <v>2368</v>
      </c>
      <c r="AL424" s="7">
        <v>221584</v>
      </c>
    </row>
    <row r="425" spans="1:38" ht="11.1" customHeight="1" x14ac:dyDescent="0.2">
      <c r="A425" s="4" t="s">
        <v>881</v>
      </c>
      <c r="B425" s="4" t="s">
        <v>882</v>
      </c>
      <c r="C425" s="4" t="s">
        <v>1597</v>
      </c>
      <c r="D425" s="4">
        <v>20</v>
      </c>
      <c r="E425" s="6">
        <v>20</v>
      </c>
      <c r="F425" s="6">
        <v>49</v>
      </c>
      <c r="G425" s="6">
        <v>866</v>
      </c>
      <c r="H425" s="7">
        <v>1013</v>
      </c>
      <c r="I425" s="6">
        <v>822</v>
      </c>
      <c r="J425" s="7">
        <v>1175</v>
      </c>
      <c r="K425" s="7">
        <v>1640</v>
      </c>
      <c r="L425" s="7">
        <v>1565</v>
      </c>
      <c r="M425" s="7">
        <v>1921</v>
      </c>
      <c r="N425" s="7">
        <v>1385</v>
      </c>
      <c r="O425" s="7">
        <v>1795</v>
      </c>
      <c r="P425" s="6">
        <v>865</v>
      </c>
      <c r="Q425" s="6">
        <v>736</v>
      </c>
      <c r="R425" s="6">
        <v>990</v>
      </c>
      <c r="S425" s="6">
        <v>865</v>
      </c>
      <c r="T425" s="7">
        <v>1377</v>
      </c>
      <c r="U425" s="6">
        <v>813</v>
      </c>
      <c r="V425" s="7">
        <v>1298</v>
      </c>
      <c r="W425" s="7">
        <v>1157</v>
      </c>
      <c r="X425" s="6">
        <v>869</v>
      </c>
      <c r="Y425" s="6">
        <v>969</v>
      </c>
      <c r="Z425" s="6">
        <v>541</v>
      </c>
      <c r="AA425" s="6">
        <v>663</v>
      </c>
      <c r="AB425" s="6">
        <v>466</v>
      </c>
      <c r="AC425" s="6">
        <v>560</v>
      </c>
      <c r="AD425" s="6">
        <v>497</v>
      </c>
      <c r="AE425" s="6">
        <v>312</v>
      </c>
      <c r="AF425" s="6">
        <v>661</v>
      </c>
      <c r="AG425" s="6">
        <v>331</v>
      </c>
      <c r="AH425" s="6">
        <v>708</v>
      </c>
      <c r="AI425" s="6">
        <v>500</v>
      </c>
      <c r="AJ425" s="6">
        <v>416</v>
      </c>
      <c r="AK425" s="6">
        <v>381</v>
      </c>
      <c r="AL425" s="7">
        <v>28226</v>
      </c>
    </row>
    <row r="426" spans="1:38" ht="11.1" customHeight="1" x14ac:dyDescent="0.2">
      <c r="A426" s="4" t="s">
        <v>883</v>
      </c>
      <c r="B426" s="4" t="s">
        <v>884</v>
      </c>
      <c r="C426" s="4" t="s">
        <v>1598</v>
      </c>
      <c r="D426" s="4">
        <v>15</v>
      </c>
      <c r="E426" s="6">
        <v>161</v>
      </c>
      <c r="F426" s="6">
        <v>580</v>
      </c>
      <c r="G426" s="6">
        <v>754</v>
      </c>
      <c r="H426" s="6">
        <v>613</v>
      </c>
      <c r="I426" s="6">
        <v>403</v>
      </c>
      <c r="J426" s="6">
        <v>836</v>
      </c>
      <c r="K426" s="6">
        <v>836</v>
      </c>
      <c r="L426" s="6">
        <v>661</v>
      </c>
      <c r="M426" s="7">
        <v>1022</v>
      </c>
      <c r="N426" s="6">
        <v>287</v>
      </c>
      <c r="O426" s="6">
        <v>602</v>
      </c>
      <c r="P426" s="6">
        <v>593</v>
      </c>
      <c r="Q426" s="6">
        <v>343</v>
      </c>
      <c r="R426" s="6">
        <v>657</v>
      </c>
      <c r="S426" s="6">
        <v>387</v>
      </c>
      <c r="T426" s="6">
        <v>925</v>
      </c>
      <c r="U426" s="6">
        <v>417</v>
      </c>
      <c r="V426" s="6">
        <v>236</v>
      </c>
      <c r="W426" s="6">
        <v>897</v>
      </c>
      <c r="X426" s="6">
        <v>675</v>
      </c>
      <c r="Y426" s="6">
        <v>209</v>
      </c>
      <c r="Z426" s="6">
        <v>455</v>
      </c>
      <c r="AA426" s="6">
        <v>786</v>
      </c>
      <c r="AB426" s="6">
        <v>448</v>
      </c>
      <c r="AC426" s="6">
        <v>790</v>
      </c>
      <c r="AD426" s="6">
        <v>439</v>
      </c>
      <c r="AE426" s="6">
        <v>258</v>
      </c>
      <c r="AF426" s="6">
        <v>313</v>
      </c>
      <c r="AG426" s="6">
        <v>372</v>
      </c>
      <c r="AH426" s="6">
        <v>316</v>
      </c>
      <c r="AI426" s="6">
        <v>462</v>
      </c>
      <c r="AJ426" s="6">
        <v>673</v>
      </c>
      <c r="AK426" s="6">
        <v>435</v>
      </c>
      <c r="AL426" s="7">
        <v>17841</v>
      </c>
    </row>
    <row r="427" spans="1:38" ht="11.1" customHeight="1" x14ac:dyDescent="0.2">
      <c r="A427" s="4" t="s">
        <v>885</v>
      </c>
      <c r="B427" s="4" t="s">
        <v>886</v>
      </c>
      <c r="C427" s="4" t="s">
        <v>1599</v>
      </c>
      <c r="D427" s="4">
        <v>15</v>
      </c>
      <c r="E427" s="6">
        <v>4</v>
      </c>
      <c r="F427" s="6">
        <v>8</v>
      </c>
      <c r="G427" s="6">
        <v>15</v>
      </c>
      <c r="H427" s="6">
        <v>3</v>
      </c>
      <c r="I427" s="6">
        <v>7</v>
      </c>
      <c r="J427" s="6">
        <v>5</v>
      </c>
      <c r="K427" s="6">
        <v>3</v>
      </c>
      <c r="L427" s="6">
        <v>94</v>
      </c>
      <c r="M427" s="6">
        <v>16</v>
      </c>
      <c r="N427" s="6">
        <v>20</v>
      </c>
      <c r="O427" s="5"/>
      <c r="P427" s="5"/>
      <c r="Q427" s="5"/>
      <c r="R427" s="5"/>
      <c r="S427" s="6">
        <v>38</v>
      </c>
      <c r="T427" s="5"/>
      <c r="U427" s="6">
        <v>2</v>
      </c>
      <c r="V427" s="6">
        <v>5</v>
      </c>
      <c r="W427" s="6">
        <v>9</v>
      </c>
      <c r="X427" s="5"/>
      <c r="Y427" s="5"/>
      <c r="Z427" s="6">
        <v>4</v>
      </c>
      <c r="AA427" s="6">
        <v>27</v>
      </c>
      <c r="AB427" s="6">
        <v>28</v>
      </c>
      <c r="AC427" s="5"/>
      <c r="AD427" s="5"/>
      <c r="AE427" s="6">
        <v>23</v>
      </c>
      <c r="AF427" s="5"/>
      <c r="AG427" s="6">
        <v>32</v>
      </c>
      <c r="AH427" s="5"/>
      <c r="AI427" s="6">
        <v>5</v>
      </c>
      <c r="AJ427" s="6">
        <v>1</v>
      </c>
      <c r="AK427" s="5"/>
      <c r="AL427" s="6">
        <v>349</v>
      </c>
    </row>
    <row r="428" spans="1:38" ht="11.1" customHeight="1" x14ac:dyDescent="0.2">
      <c r="A428" s="4" t="s">
        <v>887</v>
      </c>
      <c r="B428" s="4" t="s">
        <v>888</v>
      </c>
      <c r="C428" s="4" t="s">
        <v>1600</v>
      </c>
      <c r="D428" s="4">
        <v>15</v>
      </c>
      <c r="E428" s="5"/>
      <c r="F428" s="6">
        <v>20</v>
      </c>
      <c r="G428" s="6">
        <v>188</v>
      </c>
      <c r="H428" s="6">
        <v>50</v>
      </c>
      <c r="I428" s="6">
        <v>233</v>
      </c>
      <c r="J428" s="6">
        <v>204</v>
      </c>
      <c r="K428" s="6">
        <v>266</v>
      </c>
      <c r="L428" s="6">
        <v>183</v>
      </c>
      <c r="M428" s="6">
        <v>88</v>
      </c>
      <c r="N428" s="6">
        <v>33</v>
      </c>
      <c r="O428" s="6">
        <v>130</v>
      </c>
      <c r="P428" s="6">
        <v>110</v>
      </c>
      <c r="Q428" s="6">
        <v>110</v>
      </c>
      <c r="R428" s="6">
        <v>158</v>
      </c>
      <c r="S428" s="6">
        <v>175</v>
      </c>
      <c r="T428" s="6">
        <v>55</v>
      </c>
      <c r="U428" s="6">
        <v>105</v>
      </c>
      <c r="V428" s="6">
        <v>192</v>
      </c>
      <c r="W428" s="6">
        <v>221</v>
      </c>
      <c r="X428" s="6">
        <v>119</v>
      </c>
      <c r="Y428" s="6">
        <v>123</v>
      </c>
      <c r="Z428" s="6">
        <v>92</v>
      </c>
      <c r="AA428" s="6">
        <v>66</v>
      </c>
      <c r="AB428" s="6">
        <v>20</v>
      </c>
      <c r="AC428" s="6">
        <v>49</v>
      </c>
      <c r="AD428" s="6">
        <v>146</v>
      </c>
      <c r="AE428" s="6">
        <v>96</v>
      </c>
      <c r="AF428" s="6">
        <v>40</v>
      </c>
      <c r="AG428" s="6">
        <v>60</v>
      </c>
      <c r="AH428" s="6">
        <v>102</v>
      </c>
      <c r="AI428" s="6">
        <v>91</v>
      </c>
      <c r="AJ428" s="6">
        <v>131</v>
      </c>
      <c r="AK428" s="6">
        <v>139</v>
      </c>
      <c r="AL428" s="7">
        <v>3795</v>
      </c>
    </row>
    <row r="429" spans="1:38" ht="11.1" customHeight="1" x14ac:dyDescent="0.2">
      <c r="A429" s="4" t="s">
        <v>889</v>
      </c>
      <c r="B429" s="4" t="s">
        <v>890</v>
      </c>
      <c r="C429" s="4" t="s">
        <v>1601</v>
      </c>
      <c r="D429" s="4">
        <v>10</v>
      </c>
      <c r="E429" s="6">
        <v>4</v>
      </c>
      <c r="F429" s="6">
        <v>49</v>
      </c>
      <c r="G429" s="6">
        <v>118</v>
      </c>
      <c r="H429" s="6">
        <v>138</v>
      </c>
      <c r="I429" s="6">
        <v>88</v>
      </c>
      <c r="J429" s="6">
        <v>67</v>
      </c>
      <c r="K429" s="6">
        <v>164</v>
      </c>
      <c r="L429" s="6">
        <v>69</v>
      </c>
      <c r="M429" s="6">
        <v>166</v>
      </c>
      <c r="N429" s="6">
        <v>37</v>
      </c>
      <c r="O429" s="6">
        <v>115</v>
      </c>
      <c r="P429" s="6">
        <v>52</v>
      </c>
      <c r="Q429" s="6">
        <v>42</v>
      </c>
      <c r="R429" s="6">
        <v>202</v>
      </c>
      <c r="S429" s="6">
        <v>36</v>
      </c>
      <c r="T429" s="6">
        <v>49</v>
      </c>
      <c r="U429" s="6">
        <v>71</v>
      </c>
      <c r="V429" s="6">
        <v>48</v>
      </c>
      <c r="W429" s="6">
        <v>20</v>
      </c>
      <c r="X429" s="6">
        <v>48</v>
      </c>
      <c r="Y429" s="6">
        <v>37</v>
      </c>
      <c r="Z429" s="6">
        <v>29</v>
      </c>
      <c r="AA429" s="6">
        <v>28</v>
      </c>
      <c r="AB429" s="6">
        <v>30</v>
      </c>
      <c r="AC429" s="6">
        <v>5</v>
      </c>
      <c r="AD429" s="6">
        <v>7</v>
      </c>
      <c r="AE429" s="6">
        <v>8</v>
      </c>
      <c r="AF429" s="6">
        <v>25</v>
      </c>
      <c r="AG429" s="6">
        <v>12</v>
      </c>
      <c r="AH429" s="6">
        <v>14</v>
      </c>
      <c r="AI429" s="6">
        <v>36</v>
      </c>
      <c r="AJ429" s="6">
        <v>23</v>
      </c>
      <c r="AK429" s="6">
        <v>7</v>
      </c>
      <c r="AL429" s="7">
        <v>1844</v>
      </c>
    </row>
    <row r="430" spans="1:38" ht="11.1" customHeight="1" x14ac:dyDescent="0.2">
      <c r="A430" s="4" t="s">
        <v>891</v>
      </c>
      <c r="B430" s="4" t="s">
        <v>892</v>
      </c>
      <c r="C430" s="4" t="s">
        <v>1602</v>
      </c>
      <c r="D430" s="4">
        <v>5</v>
      </c>
      <c r="E430" s="6">
        <v>-8</v>
      </c>
      <c r="F430" s="6">
        <v>1</v>
      </c>
      <c r="G430" s="6">
        <v>12</v>
      </c>
      <c r="H430" s="6">
        <v>29</v>
      </c>
      <c r="I430" s="6">
        <v>11</v>
      </c>
      <c r="J430" s="6">
        <v>35</v>
      </c>
      <c r="K430" s="6">
        <v>38</v>
      </c>
      <c r="L430" s="6">
        <v>33</v>
      </c>
      <c r="M430" s="6">
        <v>12</v>
      </c>
      <c r="N430" s="6">
        <v>4</v>
      </c>
      <c r="O430" s="6">
        <v>4</v>
      </c>
      <c r="P430" s="6">
        <v>4</v>
      </c>
      <c r="Q430" s="6">
        <v>1</v>
      </c>
      <c r="R430" s="6">
        <v>52</v>
      </c>
      <c r="S430" s="6">
        <v>2</v>
      </c>
      <c r="T430" s="5"/>
      <c r="U430" s="6">
        <v>17</v>
      </c>
      <c r="V430" s="6">
        <v>25</v>
      </c>
      <c r="W430" s="6">
        <v>5</v>
      </c>
      <c r="X430" s="6">
        <v>10</v>
      </c>
      <c r="Y430" s="5"/>
      <c r="Z430" s="6">
        <v>3</v>
      </c>
      <c r="AA430" s="6">
        <v>6</v>
      </c>
      <c r="AB430" s="6">
        <v>8</v>
      </c>
      <c r="AC430" s="6">
        <v>25</v>
      </c>
      <c r="AD430" s="6">
        <v>10</v>
      </c>
      <c r="AE430" s="6">
        <v>3</v>
      </c>
      <c r="AF430" s="5"/>
      <c r="AG430" s="6">
        <v>1</v>
      </c>
      <c r="AH430" s="5"/>
      <c r="AI430" s="6">
        <v>1</v>
      </c>
      <c r="AJ430" s="6">
        <v>4</v>
      </c>
      <c r="AK430" s="5"/>
      <c r="AL430" s="6">
        <v>348</v>
      </c>
    </row>
    <row r="431" spans="1:38" ht="11.1" customHeight="1" x14ac:dyDescent="0.2">
      <c r="A431" s="4" t="s">
        <v>893</v>
      </c>
      <c r="B431" s="4" t="s">
        <v>894</v>
      </c>
      <c r="C431" s="4" t="s">
        <v>1603</v>
      </c>
      <c r="D431" s="4">
        <v>1</v>
      </c>
      <c r="E431" s="6">
        <v>6</v>
      </c>
      <c r="F431" s="6">
        <v>1</v>
      </c>
      <c r="G431" s="6">
        <v>12</v>
      </c>
      <c r="H431" s="6">
        <v>7</v>
      </c>
      <c r="I431" s="6">
        <v>10</v>
      </c>
      <c r="J431" s="6">
        <v>4</v>
      </c>
      <c r="K431" s="6">
        <v>3</v>
      </c>
      <c r="L431" s="6">
        <v>9</v>
      </c>
      <c r="M431" s="6">
        <v>4</v>
      </c>
      <c r="N431" s="6">
        <v>5</v>
      </c>
      <c r="O431" s="6">
        <v>11</v>
      </c>
      <c r="P431" s="6">
        <v>10</v>
      </c>
      <c r="Q431" s="6">
        <v>4</v>
      </c>
      <c r="R431" s="6">
        <v>5</v>
      </c>
      <c r="S431" s="5"/>
      <c r="T431" s="6">
        <v>8</v>
      </c>
      <c r="U431" s="5"/>
      <c r="V431" s="5"/>
      <c r="W431" s="5"/>
      <c r="X431" s="5"/>
      <c r="Y431" s="5"/>
      <c r="Z431" s="6">
        <v>4</v>
      </c>
      <c r="AA431" s="6">
        <v>10</v>
      </c>
      <c r="AB431" s="6">
        <v>2</v>
      </c>
      <c r="AC431" s="5"/>
      <c r="AD431" s="5"/>
      <c r="AE431" s="5"/>
      <c r="AF431" s="6">
        <v>8</v>
      </c>
      <c r="AG431" s="5"/>
      <c r="AH431" s="6">
        <v>2</v>
      </c>
      <c r="AI431" s="5"/>
      <c r="AJ431" s="6">
        <v>2</v>
      </c>
      <c r="AK431" s="6">
        <v>3</v>
      </c>
      <c r="AL431" s="6">
        <v>130</v>
      </c>
    </row>
    <row r="432" spans="1:38" ht="11.1" customHeight="1" x14ac:dyDescent="0.2">
      <c r="A432" s="4" t="s">
        <v>895</v>
      </c>
      <c r="B432" s="4" t="s">
        <v>896</v>
      </c>
      <c r="C432" s="4" t="s">
        <v>1604</v>
      </c>
      <c r="D432" s="4">
        <v>1</v>
      </c>
      <c r="E432" s="5"/>
      <c r="F432" s="5"/>
      <c r="G432" s="5"/>
      <c r="H432" s="5"/>
      <c r="I432" s="5"/>
      <c r="J432" s="5"/>
      <c r="K432" s="5"/>
      <c r="L432" s="5"/>
      <c r="M432" s="6">
        <v>10</v>
      </c>
      <c r="N432" s="6">
        <v>7</v>
      </c>
      <c r="O432" s="6">
        <v>2</v>
      </c>
      <c r="P432" s="5"/>
      <c r="Q432" s="6">
        <v>1</v>
      </c>
      <c r="R432" s="6">
        <v>1</v>
      </c>
      <c r="S432" s="6">
        <v>1</v>
      </c>
      <c r="T432" s="6">
        <v>1</v>
      </c>
      <c r="U432" s="6">
        <v>9</v>
      </c>
      <c r="V432" s="6">
        <v>8</v>
      </c>
      <c r="W432" s="5"/>
      <c r="X432" s="5"/>
      <c r="Y432" s="5"/>
      <c r="Z432" s="6">
        <v>1</v>
      </c>
      <c r="AA432" s="5"/>
      <c r="AB432" s="6">
        <v>7</v>
      </c>
      <c r="AC432" s="5"/>
      <c r="AD432" s="5"/>
      <c r="AE432" s="6">
        <v>7</v>
      </c>
      <c r="AF432" s="5"/>
      <c r="AG432" s="5"/>
      <c r="AH432" s="6">
        <v>9</v>
      </c>
      <c r="AI432" s="6">
        <v>3</v>
      </c>
      <c r="AJ432" s="5"/>
      <c r="AK432" s="5"/>
      <c r="AL432" s="6">
        <v>67</v>
      </c>
    </row>
    <row r="433" spans="1:38" ht="11.1" customHeight="1" x14ac:dyDescent="0.2">
      <c r="A433" s="4" t="s">
        <v>897</v>
      </c>
      <c r="B433" s="4" t="s">
        <v>898</v>
      </c>
      <c r="C433" s="4" t="s">
        <v>1605</v>
      </c>
      <c r="D433" s="4">
        <v>45</v>
      </c>
      <c r="E433" s="7">
        <v>2156</v>
      </c>
      <c r="F433" s="6">
        <v>783</v>
      </c>
      <c r="G433" s="7">
        <v>4509</v>
      </c>
      <c r="H433" s="7">
        <v>5059</v>
      </c>
      <c r="I433" s="7">
        <v>7174</v>
      </c>
      <c r="J433" s="7">
        <v>5292</v>
      </c>
      <c r="K433" s="7">
        <v>8070</v>
      </c>
      <c r="L433" s="7">
        <v>8581</v>
      </c>
      <c r="M433" s="7">
        <v>6867</v>
      </c>
      <c r="N433" s="7">
        <v>8081</v>
      </c>
      <c r="O433" s="7">
        <v>7796</v>
      </c>
      <c r="P433" s="7">
        <v>3962</v>
      </c>
      <c r="Q433" s="7">
        <v>4019</v>
      </c>
      <c r="R433" s="7">
        <v>4666</v>
      </c>
      <c r="S433" s="7">
        <v>3815</v>
      </c>
      <c r="T433" s="7">
        <v>4939</v>
      </c>
      <c r="U433" s="7">
        <v>5786</v>
      </c>
      <c r="V433" s="7">
        <v>4713</v>
      </c>
      <c r="W433" s="7">
        <v>3254</v>
      </c>
      <c r="X433" s="7">
        <v>5456</v>
      </c>
      <c r="Y433" s="7">
        <v>3753</v>
      </c>
      <c r="Z433" s="7">
        <v>2809</v>
      </c>
      <c r="AA433" s="7">
        <v>3403</v>
      </c>
      <c r="AB433" s="7">
        <v>3830</v>
      </c>
      <c r="AC433" s="7">
        <v>2600</v>
      </c>
      <c r="AD433" s="7">
        <v>2695</v>
      </c>
      <c r="AE433" s="7">
        <v>2412</v>
      </c>
      <c r="AF433" s="7">
        <v>3192</v>
      </c>
      <c r="AG433" s="7">
        <v>1967</v>
      </c>
      <c r="AH433" s="7">
        <v>3823</v>
      </c>
      <c r="AI433" s="7">
        <v>4663</v>
      </c>
      <c r="AJ433" s="7">
        <v>3530</v>
      </c>
      <c r="AK433" s="7">
        <v>1664</v>
      </c>
      <c r="AL433" s="7">
        <v>145319</v>
      </c>
    </row>
    <row r="434" spans="1:38" ht="11.1" customHeight="1" x14ac:dyDescent="0.2">
      <c r="A434" s="4" t="s">
        <v>899</v>
      </c>
      <c r="B434" s="4" t="s">
        <v>900</v>
      </c>
      <c r="C434" s="4" t="s">
        <v>1606</v>
      </c>
      <c r="D434" s="4">
        <v>30</v>
      </c>
      <c r="E434" s="6">
        <v>964</v>
      </c>
      <c r="F434" s="6">
        <v>472</v>
      </c>
      <c r="G434" s="7">
        <v>2000</v>
      </c>
      <c r="H434" s="7">
        <v>1948</v>
      </c>
      <c r="I434" s="7">
        <v>2850</v>
      </c>
      <c r="J434" s="7">
        <v>1839</v>
      </c>
      <c r="K434" s="7">
        <v>2903</v>
      </c>
      <c r="L434" s="7">
        <v>3178</v>
      </c>
      <c r="M434" s="7">
        <v>2639</v>
      </c>
      <c r="N434" s="7">
        <v>3062</v>
      </c>
      <c r="O434" s="7">
        <v>3241</v>
      </c>
      <c r="P434" s="7">
        <v>1513</v>
      </c>
      <c r="Q434" s="7">
        <v>2083</v>
      </c>
      <c r="R434" s="7">
        <v>1926</v>
      </c>
      <c r="S434" s="6">
        <v>990</v>
      </c>
      <c r="T434" s="7">
        <v>2717</v>
      </c>
      <c r="U434" s="7">
        <v>2020</v>
      </c>
      <c r="V434" s="7">
        <v>1649</v>
      </c>
      <c r="W434" s="7">
        <v>1615</v>
      </c>
      <c r="X434" s="7">
        <v>2239</v>
      </c>
      <c r="Y434" s="7">
        <v>1809</v>
      </c>
      <c r="Z434" s="6">
        <v>932</v>
      </c>
      <c r="AA434" s="7">
        <v>1578</v>
      </c>
      <c r="AB434" s="7">
        <v>1740</v>
      </c>
      <c r="AC434" s="7">
        <v>1471</v>
      </c>
      <c r="AD434" s="7">
        <v>1133</v>
      </c>
      <c r="AE434" s="6">
        <v>842</v>
      </c>
      <c r="AF434" s="7">
        <v>1008</v>
      </c>
      <c r="AG434" s="6">
        <v>884</v>
      </c>
      <c r="AH434" s="7">
        <v>1390</v>
      </c>
      <c r="AI434" s="6">
        <v>937</v>
      </c>
      <c r="AJ434" s="7">
        <v>1547</v>
      </c>
      <c r="AK434" s="6">
        <v>751</v>
      </c>
      <c r="AL434" s="7">
        <v>57870</v>
      </c>
    </row>
    <row r="435" spans="1:38" ht="11.1" customHeight="1" x14ac:dyDescent="0.2">
      <c r="A435" s="4" t="s">
        <v>901</v>
      </c>
      <c r="B435" s="4" t="s">
        <v>902</v>
      </c>
      <c r="C435" s="4" t="s">
        <v>1607</v>
      </c>
      <c r="D435" s="4">
        <v>15</v>
      </c>
      <c r="E435" s="6">
        <v>349</v>
      </c>
      <c r="F435" s="6">
        <v>166</v>
      </c>
      <c r="G435" s="6">
        <v>968</v>
      </c>
      <c r="H435" s="6">
        <v>889</v>
      </c>
      <c r="I435" s="7">
        <v>1172</v>
      </c>
      <c r="J435" s="6">
        <v>953</v>
      </c>
      <c r="K435" s="7">
        <v>1181</v>
      </c>
      <c r="L435" s="7">
        <v>1538</v>
      </c>
      <c r="M435" s="7">
        <v>1098</v>
      </c>
      <c r="N435" s="7">
        <v>1318</v>
      </c>
      <c r="O435" s="7">
        <v>1349</v>
      </c>
      <c r="P435" s="6">
        <v>825</v>
      </c>
      <c r="Q435" s="6">
        <v>672</v>
      </c>
      <c r="R435" s="6">
        <v>695</v>
      </c>
      <c r="S435" s="6">
        <v>576</v>
      </c>
      <c r="T435" s="6">
        <v>731</v>
      </c>
      <c r="U435" s="6">
        <v>891</v>
      </c>
      <c r="V435" s="6">
        <v>712</v>
      </c>
      <c r="W435" s="6">
        <v>608</v>
      </c>
      <c r="X435" s="6">
        <v>784</v>
      </c>
      <c r="Y435" s="6">
        <v>605</v>
      </c>
      <c r="Z435" s="6">
        <v>578</v>
      </c>
      <c r="AA435" s="6">
        <v>644</v>
      </c>
      <c r="AB435" s="6">
        <v>574</v>
      </c>
      <c r="AC435" s="6">
        <v>668</v>
      </c>
      <c r="AD435" s="6">
        <v>318</v>
      </c>
      <c r="AE435" s="6">
        <v>426</v>
      </c>
      <c r="AF435" s="6">
        <v>501</v>
      </c>
      <c r="AG435" s="6">
        <v>367</v>
      </c>
      <c r="AH435" s="6">
        <v>456</v>
      </c>
      <c r="AI435" s="6">
        <v>446</v>
      </c>
      <c r="AJ435" s="6">
        <v>568</v>
      </c>
      <c r="AK435" s="6">
        <v>254</v>
      </c>
      <c r="AL435" s="7">
        <v>23880</v>
      </c>
    </row>
    <row r="436" spans="1:38" ht="11.1" customHeight="1" x14ac:dyDescent="0.2">
      <c r="A436" s="4" t="s">
        <v>903</v>
      </c>
      <c r="B436" s="4" t="s">
        <v>904</v>
      </c>
      <c r="C436" s="4" t="s">
        <v>1608</v>
      </c>
      <c r="D436" s="4">
        <v>15</v>
      </c>
      <c r="E436" s="6">
        <v>232</v>
      </c>
      <c r="F436" s="6">
        <v>119</v>
      </c>
      <c r="G436" s="6">
        <v>414</v>
      </c>
      <c r="H436" s="6">
        <v>294</v>
      </c>
      <c r="I436" s="6">
        <v>315</v>
      </c>
      <c r="J436" s="6">
        <v>325</v>
      </c>
      <c r="K436" s="6">
        <v>380</v>
      </c>
      <c r="L436" s="6">
        <v>462</v>
      </c>
      <c r="M436" s="6">
        <v>610</v>
      </c>
      <c r="N436" s="6">
        <v>459</v>
      </c>
      <c r="O436" s="6">
        <v>661</v>
      </c>
      <c r="P436" s="6">
        <v>212</v>
      </c>
      <c r="Q436" s="6">
        <v>199</v>
      </c>
      <c r="R436" s="6">
        <v>355</v>
      </c>
      <c r="S436" s="6">
        <v>176</v>
      </c>
      <c r="T436" s="6">
        <v>182</v>
      </c>
      <c r="U436" s="6">
        <v>313</v>
      </c>
      <c r="V436" s="6">
        <v>256</v>
      </c>
      <c r="W436" s="6">
        <v>270</v>
      </c>
      <c r="X436" s="6">
        <v>243</v>
      </c>
      <c r="Y436" s="6">
        <v>223</v>
      </c>
      <c r="Z436" s="6">
        <v>242</v>
      </c>
      <c r="AA436" s="6">
        <v>248</v>
      </c>
      <c r="AB436" s="6">
        <v>523</v>
      </c>
      <c r="AC436" s="6">
        <v>259</v>
      </c>
      <c r="AD436" s="6">
        <v>128</v>
      </c>
      <c r="AE436" s="6">
        <v>112</v>
      </c>
      <c r="AF436" s="6">
        <v>140</v>
      </c>
      <c r="AG436" s="6">
        <v>85</v>
      </c>
      <c r="AH436" s="6">
        <v>201</v>
      </c>
      <c r="AI436" s="6">
        <v>139</v>
      </c>
      <c r="AJ436" s="6">
        <v>218</v>
      </c>
      <c r="AK436" s="6">
        <v>136</v>
      </c>
      <c r="AL436" s="7">
        <v>9131</v>
      </c>
    </row>
    <row r="437" spans="1:38" ht="11.1" customHeight="1" x14ac:dyDescent="0.2">
      <c r="A437" s="4" t="s">
        <v>905</v>
      </c>
      <c r="B437" s="4" t="s">
        <v>906</v>
      </c>
      <c r="C437" s="4" t="s">
        <v>1609</v>
      </c>
      <c r="D437" s="4">
        <v>5</v>
      </c>
      <c r="E437" s="6">
        <v>18</v>
      </c>
      <c r="F437" s="6">
        <v>125</v>
      </c>
      <c r="G437" s="6">
        <v>78</v>
      </c>
      <c r="H437" s="6">
        <v>64</v>
      </c>
      <c r="I437" s="6">
        <v>51</v>
      </c>
      <c r="J437" s="6">
        <v>86</v>
      </c>
      <c r="K437" s="6">
        <v>43</v>
      </c>
      <c r="L437" s="6">
        <v>89</v>
      </c>
      <c r="M437" s="6">
        <v>96</v>
      </c>
      <c r="N437" s="6">
        <v>93</v>
      </c>
      <c r="O437" s="6">
        <v>75</v>
      </c>
      <c r="P437" s="6">
        <v>37</v>
      </c>
      <c r="Q437" s="6">
        <v>19</v>
      </c>
      <c r="R437" s="6">
        <v>49</v>
      </c>
      <c r="S437" s="6">
        <v>67</v>
      </c>
      <c r="T437" s="6">
        <v>52</v>
      </c>
      <c r="U437" s="6">
        <v>35</v>
      </c>
      <c r="V437" s="6">
        <v>116</v>
      </c>
      <c r="W437" s="6">
        <v>53</v>
      </c>
      <c r="X437" s="6">
        <v>42</v>
      </c>
      <c r="Y437" s="6">
        <v>48</v>
      </c>
      <c r="Z437" s="6">
        <v>135</v>
      </c>
      <c r="AA437" s="6">
        <v>97</v>
      </c>
      <c r="AB437" s="6">
        <v>32</v>
      </c>
      <c r="AC437" s="6">
        <v>9</v>
      </c>
      <c r="AD437" s="6">
        <v>20</v>
      </c>
      <c r="AE437" s="6">
        <v>28</v>
      </c>
      <c r="AF437" s="6">
        <v>36</v>
      </c>
      <c r="AG437" s="6">
        <v>-7</v>
      </c>
      <c r="AH437" s="6">
        <v>43</v>
      </c>
      <c r="AI437" s="6">
        <v>13</v>
      </c>
      <c r="AJ437" s="6">
        <v>31</v>
      </c>
      <c r="AK437" s="6">
        <v>22</v>
      </c>
      <c r="AL437" s="7">
        <v>1795</v>
      </c>
    </row>
    <row r="438" spans="1:38" ht="11.1" customHeight="1" x14ac:dyDescent="0.2">
      <c r="A438" s="4" t="s">
        <v>907</v>
      </c>
      <c r="B438" s="4" t="s">
        <v>908</v>
      </c>
      <c r="C438" s="4" t="s">
        <v>1610</v>
      </c>
      <c r="D438" s="4">
        <v>20</v>
      </c>
      <c r="E438" s="5"/>
      <c r="F438" s="6">
        <v>3</v>
      </c>
      <c r="G438" s="6">
        <v>60</v>
      </c>
      <c r="H438" s="6">
        <v>12</v>
      </c>
      <c r="I438" s="6">
        <v>3</v>
      </c>
      <c r="J438" s="5"/>
      <c r="K438" s="6">
        <v>48</v>
      </c>
      <c r="L438" s="6">
        <v>10</v>
      </c>
      <c r="M438" s="6">
        <v>5</v>
      </c>
      <c r="N438" s="6">
        <v>5</v>
      </c>
      <c r="O438" s="6">
        <v>8</v>
      </c>
      <c r="P438" s="6">
        <v>2</v>
      </c>
      <c r="Q438" s="6">
        <v>20</v>
      </c>
      <c r="R438" s="5"/>
      <c r="S438" s="5"/>
      <c r="T438" s="5"/>
      <c r="U438" s="6">
        <v>2</v>
      </c>
      <c r="V438" s="6">
        <v>3</v>
      </c>
      <c r="W438" s="6">
        <v>13</v>
      </c>
      <c r="X438" s="6">
        <v>15</v>
      </c>
      <c r="Y438" s="6">
        <v>53</v>
      </c>
      <c r="Z438" s="5"/>
      <c r="AA438" s="6">
        <v>2</v>
      </c>
      <c r="AB438" s="6">
        <v>6</v>
      </c>
      <c r="AC438" s="5"/>
      <c r="AD438" s="6">
        <v>12</v>
      </c>
      <c r="AE438" s="6">
        <v>1</v>
      </c>
      <c r="AF438" s="5"/>
      <c r="AG438" s="5"/>
      <c r="AH438" s="5"/>
      <c r="AI438" s="6">
        <v>20</v>
      </c>
      <c r="AJ438" s="6">
        <v>10</v>
      </c>
      <c r="AK438" s="6">
        <v>5</v>
      </c>
      <c r="AL438" s="6">
        <v>318</v>
      </c>
    </row>
    <row r="439" spans="1:38" ht="11.1" customHeight="1" x14ac:dyDescent="0.2">
      <c r="A439" s="4" t="s">
        <v>909</v>
      </c>
      <c r="B439" s="4" t="s">
        <v>910</v>
      </c>
      <c r="C439" s="4" t="s">
        <v>1611</v>
      </c>
      <c r="D439" s="4">
        <v>15</v>
      </c>
      <c r="E439" s="6">
        <v>3</v>
      </c>
      <c r="F439" s="6">
        <v>27</v>
      </c>
      <c r="G439" s="6">
        <v>86</v>
      </c>
      <c r="H439" s="6">
        <v>150</v>
      </c>
      <c r="I439" s="6">
        <v>190</v>
      </c>
      <c r="J439" s="6">
        <v>44</v>
      </c>
      <c r="K439" s="6">
        <v>171</v>
      </c>
      <c r="L439" s="6">
        <v>196</v>
      </c>
      <c r="M439" s="6">
        <v>133</v>
      </c>
      <c r="N439" s="6">
        <v>108</v>
      </c>
      <c r="O439" s="6">
        <v>47</v>
      </c>
      <c r="P439" s="6">
        <v>95</v>
      </c>
      <c r="Q439" s="6">
        <v>45</v>
      </c>
      <c r="R439" s="6">
        <v>53</v>
      </c>
      <c r="S439" s="6">
        <v>55</v>
      </c>
      <c r="T439" s="6">
        <v>137</v>
      </c>
      <c r="U439" s="6">
        <v>137</v>
      </c>
      <c r="V439" s="6">
        <v>147</v>
      </c>
      <c r="W439" s="6">
        <v>157</v>
      </c>
      <c r="X439" s="6">
        <v>105</v>
      </c>
      <c r="Y439" s="6">
        <v>84</v>
      </c>
      <c r="Z439" s="6">
        <v>40</v>
      </c>
      <c r="AA439" s="6">
        <v>150</v>
      </c>
      <c r="AB439" s="6">
        <v>139</v>
      </c>
      <c r="AC439" s="6">
        <v>155</v>
      </c>
      <c r="AD439" s="6">
        <v>190</v>
      </c>
      <c r="AE439" s="6">
        <v>21</v>
      </c>
      <c r="AF439" s="6">
        <v>21</v>
      </c>
      <c r="AG439" s="6">
        <v>39</v>
      </c>
      <c r="AH439" s="6">
        <v>160</v>
      </c>
      <c r="AI439" s="6">
        <v>57</v>
      </c>
      <c r="AJ439" s="6">
        <v>61</v>
      </c>
      <c r="AK439" s="6">
        <v>87</v>
      </c>
      <c r="AL439" s="7">
        <v>3290</v>
      </c>
    </row>
    <row r="440" spans="1:38" ht="11.1" customHeight="1" x14ac:dyDescent="0.2">
      <c r="A440" s="4" t="s">
        <v>911</v>
      </c>
      <c r="B440" s="4" t="s">
        <v>912</v>
      </c>
      <c r="C440" s="4" t="s">
        <v>1612</v>
      </c>
      <c r="D440" s="4">
        <v>10</v>
      </c>
      <c r="E440" s="6">
        <v>5</v>
      </c>
      <c r="F440" s="6">
        <v>5</v>
      </c>
      <c r="G440" s="6">
        <v>23</v>
      </c>
      <c r="H440" s="6">
        <v>15</v>
      </c>
      <c r="I440" s="6">
        <v>70</v>
      </c>
      <c r="J440" s="6">
        <v>4</v>
      </c>
      <c r="K440" s="6">
        <v>135</v>
      </c>
      <c r="L440" s="6">
        <v>18</v>
      </c>
      <c r="M440" s="6">
        <v>10</v>
      </c>
      <c r="N440" s="6">
        <v>8</v>
      </c>
      <c r="O440" s="6">
        <v>22</v>
      </c>
      <c r="P440" s="6">
        <v>6</v>
      </c>
      <c r="Q440" s="6">
        <v>2</v>
      </c>
      <c r="R440" s="6">
        <v>18</v>
      </c>
      <c r="S440" s="6">
        <v>15</v>
      </c>
      <c r="T440" s="6">
        <v>16</v>
      </c>
      <c r="U440" s="6">
        <v>21</v>
      </c>
      <c r="V440" s="6">
        <v>3</v>
      </c>
      <c r="W440" s="6">
        <v>14</v>
      </c>
      <c r="X440" s="6">
        <v>17</v>
      </c>
      <c r="Y440" s="6">
        <v>50</v>
      </c>
      <c r="Z440" s="6">
        <v>11</v>
      </c>
      <c r="AA440" s="6">
        <v>38</v>
      </c>
      <c r="AB440" s="6">
        <v>59</v>
      </c>
      <c r="AC440" s="6">
        <v>2</v>
      </c>
      <c r="AD440" s="6">
        <v>64</v>
      </c>
      <c r="AE440" s="6">
        <v>28</v>
      </c>
      <c r="AF440" s="6">
        <v>3</v>
      </c>
      <c r="AG440" s="6">
        <v>10</v>
      </c>
      <c r="AH440" s="6">
        <v>16</v>
      </c>
      <c r="AI440" s="6">
        <v>2</v>
      </c>
      <c r="AJ440" s="6">
        <v>49</v>
      </c>
      <c r="AK440" s="6">
        <v>51</v>
      </c>
      <c r="AL440" s="6">
        <v>810</v>
      </c>
    </row>
    <row r="441" spans="1:38" ht="11.1" customHeight="1" x14ac:dyDescent="0.2">
      <c r="A441" s="4" t="s">
        <v>913</v>
      </c>
      <c r="B441" s="4" t="s">
        <v>914</v>
      </c>
      <c r="C441" s="4" t="s">
        <v>1613</v>
      </c>
      <c r="D441" s="4">
        <v>5</v>
      </c>
      <c r="E441" s="5"/>
      <c r="F441" s="6">
        <v>1</v>
      </c>
      <c r="G441" s="6">
        <v>13</v>
      </c>
      <c r="H441" s="6">
        <v>25</v>
      </c>
      <c r="I441" s="5"/>
      <c r="J441" s="6">
        <v>18</v>
      </c>
      <c r="K441" s="6">
        <v>4</v>
      </c>
      <c r="L441" s="6">
        <v>8</v>
      </c>
      <c r="M441" s="6">
        <v>2</v>
      </c>
      <c r="N441" s="6">
        <v>2</v>
      </c>
      <c r="O441" s="6">
        <v>2</v>
      </c>
      <c r="P441" s="6">
        <v>10</v>
      </c>
      <c r="Q441" s="6">
        <v>3</v>
      </c>
      <c r="R441" s="6">
        <v>7</v>
      </c>
      <c r="S441" s="6">
        <v>4</v>
      </c>
      <c r="T441" s="6">
        <v>4</v>
      </c>
      <c r="U441" s="6">
        <v>15</v>
      </c>
      <c r="V441" s="6">
        <v>6</v>
      </c>
      <c r="W441" s="6">
        <v>8</v>
      </c>
      <c r="X441" s="6">
        <v>3</v>
      </c>
      <c r="Y441" s="6">
        <v>6</v>
      </c>
      <c r="Z441" s="6">
        <v>9</v>
      </c>
      <c r="AA441" s="6">
        <v>21</v>
      </c>
      <c r="AB441" s="6">
        <v>20</v>
      </c>
      <c r="AC441" s="6">
        <v>6</v>
      </c>
      <c r="AD441" s="6">
        <v>34</v>
      </c>
      <c r="AE441" s="6">
        <v>2</v>
      </c>
      <c r="AF441" s="6">
        <v>1</v>
      </c>
      <c r="AG441" s="6">
        <v>6</v>
      </c>
      <c r="AH441" s="6">
        <v>16</v>
      </c>
      <c r="AI441" s="6">
        <v>5</v>
      </c>
      <c r="AJ441" s="6">
        <v>10</v>
      </c>
      <c r="AK441" s="6">
        <v>1</v>
      </c>
      <c r="AL441" s="6">
        <v>272</v>
      </c>
    </row>
    <row r="442" spans="1:38" ht="11.1" customHeight="1" x14ac:dyDescent="0.2">
      <c r="A442" s="4" t="s">
        <v>915</v>
      </c>
      <c r="B442" s="4" t="s">
        <v>916</v>
      </c>
      <c r="C442" s="4" t="s">
        <v>1614</v>
      </c>
      <c r="D442" s="4">
        <v>10</v>
      </c>
      <c r="E442" s="6">
        <v>12</v>
      </c>
      <c r="F442" s="6">
        <v>56</v>
      </c>
      <c r="G442" s="6">
        <v>15</v>
      </c>
      <c r="H442" s="6">
        <v>151</v>
      </c>
      <c r="I442" s="6">
        <v>94</v>
      </c>
      <c r="J442" s="6">
        <v>81</v>
      </c>
      <c r="K442" s="6">
        <v>21</v>
      </c>
      <c r="L442" s="6">
        <v>99</v>
      </c>
      <c r="M442" s="6">
        <v>97</v>
      </c>
      <c r="N442" s="6">
        <v>121</v>
      </c>
      <c r="O442" s="6">
        <v>65</v>
      </c>
      <c r="P442" s="6">
        <v>236</v>
      </c>
      <c r="Q442" s="6">
        <v>58</v>
      </c>
      <c r="R442" s="6">
        <v>63</v>
      </c>
      <c r="S442" s="6">
        <v>20</v>
      </c>
      <c r="T442" s="6">
        <v>374</v>
      </c>
      <c r="U442" s="6">
        <v>88</v>
      </c>
      <c r="V442" s="6">
        <v>23</v>
      </c>
      <c r="W442" s="6">
        <v>54</v>
      </c>
      <c r="X442" s="6">
        <v>105</v>
      </c>
      <c r="Y442" s="6">
        <v>32</v>
      </c>
      <c r="Z442" s="6">
        <v>67</v>
      </c>
      <c r="AA442" s="6">
        <v>22</v>
      </c>
      <c r="AB442" s="6">
        <v>22</v>
      </c>
      <c r="AC442" s="6">
        <v>25</v>
      </c>
      <c r="AD442" s="6">
        <v>12</v>
      </c>
      <c r="AE442" s="6">
        <v>414</v>
      </c>
      <c r="AF442" s="6">
        <v>63</v>
      </c>
      <c r="AG442" s="6">
        <v>22</v>
      </c>
      <c r="AH442" s="6">
        <v>15</v>
      </c>
      <c r="AI442" s="6">
        <v>45</v>
      </c>
      <c r="AJ442" s="6">
        <v>34</v>
      </c>
      <c r="AK442" s="6">
        <v>7</v>
      </c>
      <c r="AL442" s="7">
        <v>2613</v>
      </c>
    </row>
    <row r="443" spans="1:38" ht="11.1" customHeight="1" x14ac:dyDescent="0.2">
      <c r="A443" s="4" t="s">
        <v>917</v>
      </c>
      <c r="B443" s="4" t="s">
        <v>918</v>
      </c>
      <c r="C443" s="4" t="s">
        <v>1615</v>
      </c>
      <c r="D443" s="4">
        <v>20</v>
      </c>
      <c r="E443" s="6">
        <v>17</v>
      </c>
      <c r="F443" s="6">
        <v>92</v>
      </c>
      <c r="G443" s="6">
        <v>176</v>
      </c>
      <c r="H443" s="6">
        <v>192</v>
      </c>
      <c r="I443" s="6">
        <v>262</v>
      </c>
      <c r="J443" s="6">
        <v>260</v>
      </c>
      <c r="K443" s="6">
        <v>159</v>
      </c>
      <c r="L443" s="6">
        <v>291</v>
      </c>
      <c r="M443" s="6">
        <v>283</v>
      </c>
      <c r="N443" s="6">
        <v>197</v>
      </c>
      <c r="O443" s="6">
        <v>306</v>
      </c>
      <c r="P443" s="6">
        <v>143</v>
      </c>
      <c r="Q443" s="6">
        <v>137</v>
      </c>
      <c r="R443" s="6">
        <v>115</v>
      </c>
      <c r="S443" s="6">
        <v>134</v>
      </c>
      <c r="T443" s="6">
        <v>125</v>
      </c>
      <c r="U443" s="6">
        <v>311</v>
      </c>
      <c r="V443" s="6">
        <v>277</v>
      </c>
      <c r="W443" s="6">
        <v>165</v>
      </c>
      <c r="X443" s="6">
        <v>147</v>
      </c>
      <c r="Y443" s="6">
        <v>178</v>
      </c>
      <c r="Z443" s="6">
        <v>81</v>
      </c>
      <c r="AA443" s="6">
        <v>81</v>
      </c>
      <c r="AB443" s="6">
        <v>173</v>
      </c>
      <c r="AC443" s="6">
        <v>209</v>
      </c>
      <c r="AD443" s="6">
        <v>100</v>
      </c>
      <c r="AE443" s="6">
        <v>61</v>
      </c>
      <c r="AF443" s="6">
        <v>111</v>
      </c>
      <c r="AG443" s="6">
        <v>73</v>
      </c>
      <c r="AH443" s="6">
        <v>155</v>
      </c>
      <c r="AI443" s="6">
        <v>41</v>
      </c>
      <c r="AJ443" s="6">
        <v>183</v>
      </c>
      <c r="AK443" s="6">
        <v>46</v>
      </c>
      <c r="AL443" s="7">
        <v>5281</v>
      </c>
    </row>
    <row r="444" spans="1:38" ht="11.1" customHeight="1" x14ac:dyDescent="0.2">
      <c r="A444" s="4" t="s">
        <v>919</v>
      </c>
      <c r="B444" s="4" t="s">
        <v>920</v>
      </c>
      <c r="C444" s="4" t="s">
        <v>920</v>
      </c>
      <c r="D444" s="4">
        <v>5</v>
      </c>
      <c r="E444" s="5"/>
      <c r="F444" s="5"/>
      <c r="G444" s="5"/>
      <c r="H444" s="6">
        <v>5</v>
      </c>
      <c r="I444" s="6">
        <v>34</v>
      </c>
      <c r="J444" s="5"/>
      <c r="K444" s="5"/>
      <c r="L444" s="6">
        <v>11</v>
      </c>
      <c r="M444" s="6">
        <v>65</v>
      </c>
      <c r="N444" s="5"/>
      <c r="O444" s="5"/>
      <c r="P444" s="5"/>
      <c r="Q444" s="5"/>
      <c r="R444" s="5"/>
      <c r="S444" s="5"/>
      <c r="T444" s="5"/>
      <c r="U444" s="6">
        <v>1</v>
      </c>
      <c r="V444" s="5"/>
      <c r="W444" s="5"/>
      <c r="X444" s="5"/>
      <c r="Y444" s="5"/>
      <c r="Z444" s="5"/>
      <c r="AA444" s="5"/>
      <c r="AB444" s="5"/>
      <c r="AC444" s="6">
        <v>3</v>
      </c>
      <c r="AD444" s="5"/>
      <c r="AE444" s="5"/>
      <c r="AF444" s="5"/>
      <c r="AG444" s="5"/>
      <c r="AH444" s="5"/>
      <c r="AI444" s="6">
        <v>61</v>
      </c>
      <c r="AJ444" s="5"/>
      <c r="AK444" s="5"/>
      <c r="AL444" s="6">
        <v>180</v>
      </c>
    </row>
    <row r="445" spans="1:38" ht="11.1" customHeight="1" x14ac:dyDescent="0.2">
      <c r="A445" s="4" t="s">
        <v>921</v>
      </c>
      <c r="B445" s="4" t="s">
        <v>922</v>
      </c>
      <c r="C445" s="4" t="s">
        <v>1616</v>
      </c>
      <c r="D445" s="4">
        <v>10</v>
      </c>
      <c r="E445" s="6">
        <v>2</v>
      </c>
      <c r="F445" s="5"/>
      <c r="G445" s="6">
        <v>20</v>
      </c>
      <c r="H445" s="6">
        <v>65</v>
      </c>
      <c r="I445" s="6">
        <v>49</v>
      </c>
      <c r="J445" s="6">
        <v>33</v>
      </c>
      <c r="K445" s="6">
        <v>13</v>
      </c>
      <c r="L445" s="6">
        <v>54</v>
      </c>
      <c r="M445" s="6">
        <v>45</v>
      </c>
      <c r="N445" s="6">
        <v>49</v>
      </c>
      <c r="O445" s="6">
        <v>17</v>
      </c>
      <c r="P445" s="6">
        <v>135</v>
      </c>
      <c r="Q445" s="6">
        <v>33</v>
      </c>
      <c r="R445" s="6">
        <v>39</v>
      </c>
      <c r="S445" s="6">
        <v>4</v>
      </c>
      <c r="T445" s="6">
        <v>285</v>
      </c>
      <c r="U445" s="6">
        <v>6</v>
      </c>
      <c r="V445" s="6">
        <v>4</v>
      </c>
      <c r="W445" s="6">
        <v>47</v>
      </c>
      <c r="X445" s="6">
        <v>15</v>
      </c>
      <c r="Y445" s="6">
        <v>3</v>
      </c>
      <c r="Z445" s="6">
        <v>3</v>
      </c>
      <c r="AA445" s="6">
        <v>4</v>
      </c>
      <c r="AB445" s="6">
        <v>2</v>
      </c>
      <c r="AC445" s="6">
        <v>21</v>
      </c>
      <c r="AD445" s="6">
        <v>9</v>
      </c>
      <c r="AE445" s="6">
        <v>360</v>
      </c>
      <c r="AF445" s="6">
        <v>7</v>
      </c>
      <c r="AG445" s="6">
        <v>3</v>
      </c>
      <c r="AH445" s="6">
        <v>12</v>
      </c>
      <c r="AI445" s="6">
        <v>25</v>
      </c>
      <c r="AJ445" s="6">
        <v>9</v>
      </c>
      <c r="AK445" s="6">
        <v>4</v>
      </c>
      <c r="AL445" s="7">
        <v>1377</v>
      </c>
    </row>
    <row r="446" spans="1:38" ht="11.1" customHeight="1" x14ac:dyDescent="0.2">
      <c r="A446" s="4" t="s">
        <v>923</v>
      </c>
      <c r="B446" s="4" t="s">
        <v>924</v>
      </c>
      <c r="C446" s="4" t="s">
        <v>924</v>
      </c>
      <c r="D446" s="4">
        <v>5</v>
      </c>
      <c r="E446" s="5"/>
      <c r="F446" s="5"/>
      <c r="G446" s="6">
        <v>4</v>
      </c>
      <c r="H446" s="5"/>
      <c r="I446" s="6">
        <v>12</v>
      </c>
      <c r="J446" s="6">
        <v>2</v>
      </c>
      <c r="K446" s="5"/>
      <c r="L446" s="6">
        <v>2</v>
      </c>
      <c r="M446" s="6">
        <v>5</v>
      </c>
      <c r="N446" s="6">
        <v>3</v>
      </c>
      <c r="O446" s="6">
        <v>5</v>
      </c>
      <c r="P446" s="6">
        <v>1</v>
      </c>
      <c r="Q446" s="5"/>
      <c r="R446" s="5"/>
      <c r="S446" s="6">
        <v>2</v>
      </c>
      <c r="T446" s="6">
        <v>21</v>
      </c>
      <c r="U446" s="5"/>
      <c r="V446" s="6">
        <v>14</v>
      </c>
      <c r="W446" s="6">
        <v>4</v>
      </c>
      <c r="X446" s="5"/>
      <c r="Y446" s="6">
        <v>21</v>
      </c>
      <c r="Z446" s="5"/>
      <c r="AA446" s="6">
        <v>20</v>
      </c>
      <c r="AB446" s="5"/>
      <c r="AC446" s="5"/>
      <c r="AD446" s="6">
        <v>4</v>
      </c>
      <c r="AE446" s="6">
        <v>15</v>
      </c>
      <c r="AF446" s="6">
        <v>1</v>
      </c>
      <c r="AG446" s="6">
        <v>1</v>
      </c>
      <c r="AH446" s="6">
        <v>2</v>
      </c>
      <c r="AI446" s="5"/>
      <c r="AJ446" s="6">
        <v>6</v>
      </c>
      <c r="AK446" s="6">
        <v>11</v>
      </c>
      <c r="AL446" s="6">
        <v>156</v>
      </c>
    </row>
    <row r="447" spans="1:38" ht="11.1" customHeight="1" x14ac:dyDescent="0.2">
      <c r="A447" s="4" t="s">
        <v>925</v>
      </c>
      <c r="B447" s="4" t="s">
        <v>926</v>
      </c>
      <c r="C447" s="4" t="s">
        <v>1617</v>
      </c>
      <c r="D447" s="4">
        <v>10</v>
      </c>
      <c r="E447" s="6">
        <v>4</v>
      </c>
      <c r="F447" s="6">
        <v>2</v>
      </c>
      <c r="G447" s="6">
        <v>5</v>
      </c>
      <c r="H447" s="6">
        <v>23</v>
      </c>
      <c r="I447" s="6">
        <v>64</v>
      </c>
      <c r="J447" s="6">
        <v>31</v>
      </c>
      <c r="K447" s="6">
        <v>35</v>
      </c>
      <c r="L447" s="6">
        <v>20</v>
      </c>
      <c r="M447" s="5"/>
      <c r="N447" s="6">
        <v>30</v>
      </c>
      <c r="O447" s="6">
        <v>5</v>
      </c>
      <c r="P447" s="5"/>
      <c r="Q447" s="5"/>
      <c r="R447" s="5"/>
      <c r="S447" s="6">
        <v>14</v>
      </c>
      <c r="T447" s="6">
        <v>5</v>
      </c>
      <c r="U447" s="5"/>
      <c r="V447" s="6">
        <v>5</v>
      </c>
      <c r="W447" s="6">
        <v>20</v>
      </c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6">
        <v>6</v>
      </c>
      <c r="AI447" s="5"/>
      <c r="AJ447" s="5"/>
      <c r="AK447" s="5"/>
      <c r="AL447" s="6">
        <v>269</v>
      </c>
    </row>
    <row r="448" spans="1:38" ht="11.1" customHeight="1" x14ac:dyDescent="0.2">
      <c r="A448" s="4" t="s">
        <v>927</v>
      </c>
      <c r="B448" s="4" t="s">
        <v>928</v>
      </c>
      <c r="C448" s="4" t="s">
        <v>1618</v>
      </c>
      <c r="D448" s="4">
        <v>5</v>
      </c>
      <c r="E448" s="5"/>
      <c r="F448" s="5"/>
      <c r="G448" s="5"/>
      <c r="H448" s="6">
        <v>5</v>
      </c>
      <c r="I448" s="6">
        <v>9</v>
      </c>
      <c r="J448" s="6">
        <v>39</v>
      </c>
      <c r="K448" s="6">
        <v>12</v>
      </c>
      <c r="L448" s="6">
        <v>37</v>
      </c>
      <c r="M448" s="6">
        <v>103</v>
      </c>
      <c r="N448" s="6">
        <v>48</v>
      </c>
      <c r="O448" s="6">
        <v>36</v>
      </c>
      <c r="P448" s="6">
        <v>17</v>
      </c>
      <c r="Q448" s="6">
        <v>34</v>
      </c>
      <c r="R448" s="6">
        <v>22</v>
      </c>
      <c r="S448" s="6">
        <v>37</v>
      </c>
      <c r="T448" s="6">
        <v>61</v>
      </c>
      <c r="U448" s="6">
        <v>24</v>
      </c>
      <c r="V448" s="6">
        <v>12</v>
      </c>
      <c r="W448" s="6">
        <v>31</v>
      </c>
      <c r="X448" s="6">
        <v>38</v>
      </c>
      <c r="Y448" s="6">
        <v>20</v>
      </c>
      <c r="Z448" s="6">
        <v>18</v>
      </c>
      <c r="AA448" s="6">
        <v>40</v>
      </c>
      <c r="AB448" s="6">
        <v>13</v>
      </c>
      <c r="AC448" s="6">
        <v>30</v>
      </c>
      <c r="AD448" s="6">
        <v>8</v>
      </c>
      <c r="AE448" s="6">
        <v>6</v>
      </c>
      <c r="AF448" s="6">
        <v>24</v>
      </c>
      <c r="AG448" s="6">
        <v>34</v>
      </c>
      <c r="AH448" s="6">
        <v>42</v>
      </c>
      <c r="AI448" s="6">
        <v>12</v>
      </c>
      <c r="AJ448" s="6">
        <v>16</v>
      </c>
      <c r="AK448" s="6">
        <v>16</v>
      </c>
      <c r="AL448" s="6">
        <v>844</v>
      </c>
    </row>
    <row r="449" spans="1:38" ht="11.1" customHeight="1" x14ac:dyDescent="0.2">
      <c r="A449" s="4" t="s">
        <v>929</v>
      </c>
      <c r="B449" s="4" t="s">
        <v>930</v>
      </c>
      <c r="C449" s="4" t="s">
        <v>1619</v>
      </c>
      <c r="D449" s="4">
        <v>6</v>
      </c>
      <c r="E449" s="6">
        <v>26</v>
      </c>
      <c r="F449" s="6">
        <v>5</v>
      </c>
      <c r="G449" s="6">
        <v>68</v>
      </c>
      <c r="H449" s="6">
        <v>104</v>
      </c>
      <c r="I449" s="6">
        <v>117</v>
      </c>
      <c r="J449" s="6">
        <v>165</v>
      </c>
      <c r="K449" s="6">
        <v>25</v>
      </c>
      <c r="L449" s="6">
        <v>52</v>
      </c>
      <c r="M449" s="6">
        <v>20</v>
      </c>
      <c r="N449" s="6">
        <v>75</v>
      </c>
      <c r="O449" s="6">
        <v>22</v>
      </c>
      <c r="P449" s="6">
        <v>6</v>
      </c>
      <c r="Q449" s="6">
        <v>21</v>
      </c>
      <c r="R449" s="6">
        <v>11</v>
      </c>
      <c r="S449" s="6">
        <v>19</v>
      </c>
      <c r="T449" s="6">
        <v>2</v>
      </c>
      <c r="U449" s="5"/>
      <c r="V449" s="6">
        <v>2</v>
      </c>
      <c r="W449" s="6">
        <v>8</v>
      </c>
      <c r="X449" s="5"/>
      <c r="Y449" s="6">
        <v>10</v>
      </c>
      <c r="Z449" s="6">
        <v>3</v>
      </c>
      <c r="AA449" s="5"/>
      <c r="AB449" s="6">
        <v>3</v>
      </c>
      <c r="AC449" s="6">
        <v>8</v>
      </c>
      <c r="AD449" s="6">
        <v>1</v>
      </c>
      <c r="AE449" s="6">
        <v>5</v>
      </c>
      <c r="AF449" s="6">
        <v>2</v>
      </c>
      <c r="AG449" s="6">
        <v>2</v>
      </c>
      <c r="AH449" s="6">
        <v>1</v>
      </c>
      <c r="AI449" s="6">
        <v>6</v>
      </c>
      <c r="AJ449" s="5"/>
      <c r="AK449" s="5"/>
      <c r="AL449" s="6">
        <v>789</v>
      </c>
    </row>
    <row r="450" spans="1:38" ht="11.1" customHeight="1" x14ac:dyDescent="0.2">
      <c r="A450" s="4" t="s">
        <v>931</v>
      </c>
      <c r="B450" s="4" t="s">
        <v>932</v>
      </c>
      <c r="C450" s="4" t="s">
        <v>1620</v>
      </c>
      <c r="D450" s="4">
        <v>10</v>
      </c>
      <c r="E450" s="5"/>
      <c r="F450" s="5"/>
      <c r="G450" s="5"/>
      <c r="H450" s="5"/>
      <c r="I450" s="5"/>
      <c r="J450" s="5"/>
      <c r="K450" s="5"/>
      <c r="L450" s="6">
        <v>10</v>
      </c>
      <c r="M450" s="5"/>
      <c r="N450" s="5"/>
      <c r="O450" s="5"/>
      <c r="P450" s="5"/>
      <c r="Q450" s="6">
        <v>13</v>
      </c>
      <c r="R450" s="6">
        <v>28</v>
      </c>
      <c r="S450" s="6">
        <v>9</v>
      </c>
      <c r="T450" s="6">
        <v>136</v>
      </c>
      <c r="U450" s="6">
        <v>24</v>
      </c>
      <c r="V450" s="6">
        <v>39</v>
      </c>
      <c r="W450" s="6">
        <v>20</v>
      </c>
      <c r="X450" s="6">
        <v>36</v>
      </c>
      <c r="Y450" s="6">
        <v>22</v>
      </c>
      <c r="Z450" s="6">
        <v>16</v>
      </c>
      <c r="AA450" s="6">
        <v>38</v>
      </c>
      <c r="AB450" s="6">
        <v>70</v>
      </c>
      <c r="AC450" s="6">
        <v>24</v>
      </c>
      <c r="AD450" s="6">
        <v>7</v>
      </c>
      <c r="AE450" s="6">
        <v>29</v>
      </c>
      <c r="AF450" s="6">
        <v>15</v>
      </c>
      <c r="AG450" s="6">
        <v>31</v>
      </c>
      <c r="AH450" s="6">
        <v>24</v>
      </c>
      <c r="AI450" s="6">
        <v>20</v>
      </c>
      <c r="AJ450" s="6">
        <v>29</v>
      </c>
      <c r="AK450" s="6">
        <v>45</v>
      </c>
      <c r="AL450" s="6">
        <v>685</v>
      </c>
    </row>
    <row r="451" spans="1:38" ht="11.1" customHeight="1" x14ac:dyDescent="0.2">
      <c r="A451" s="4" t="s">
        <v>933</v>
      </c>
      <c r="B451" s="4" t="s">
        <v>934</v>
      </c>
      <c r="C451" s="4" t="s">
        <v>1621</v>
      </c>
      <c r="D451" s="4">
        <v>10</v>
      </c>
      <c r="E451" s="6">
        <v>53</v>
      </c>
      <c r="F451" s="6">
        <v>3</v>
      </c>
      <c r="G451" s="6">
        <v>76</v>
      </c>
      <c r="H451" s="6">
        <v>107</v>
      </c>
      <c r="I451" s="6">
        <v>529</v>
      </c>
      <c r="J451" s="6">
        <v>43</v>
      </c>
      <c r="K451" s="6">
        <v>3</v>
      </c>
      <c r="L451" s="6">
        <v>685</v>
      </c>
      <c r="M451" s="6">
        <v>53</v>
      </c>
      <c r="N451" s="6">
        <v>290</v>
      </c>
      <c r="O451" s="6">
        <v>89</v>
      </c>
      <c r="P451" s="6">
        <v>612</v>
      </c>
      <c r="Q451" s="6">
        <v>26</v>
      </c>
      <c r="R451" s="6">
        <v>142</v>
      </c>
      <c r="S451" s="6">
        <v>34</v>
      </c>
      <c r="T451" s="6">
        <v>131</v>
      </c>
      <c r="U451" s="6">
        <v>69</v>
      </c>
      <c r="V451" s="6">
        <v>23</v>
      </c>
      <c r="W451" s="6">
        <v>342</v>
      </c>
      <c r="X451" s="6">
        <v>160</v>
      </c>
      <c r="Y451" s="6">
        <v>27</v>
      </c>
      <c r="Z451" s="6">
        <v>13</v>
      </c>
      <c r="AA451" s="6">
        <v>31</v>
      </c>
      <c r="AB451" s="6">
        <v>5</v>
      </c>
      <c r="AC451" s="6">
        <v>82</v>
      </c>
      <c r="AD451" s="6">
        <v>26</v>
      </c>
      <c r="AE451" s="6">
        <v>421</v>
      </c>
      <c r="AF451" s="6">
        <v>227</v>
      </c>
      <c r="AG451" s="6">
        <v>55</v>
      </c>
      <c r="AH451" s="6">
        <v>42</v>
      </c>
      <c r="AI451" s="6">
        <v>22</v>
      </c>
      <c r="AJ451" s="6">
        <v>37</v>
      </c>
      <c r="AK451" s="6">
        <v>69</v>
      </c>
      <c r="AL451" s="7">
        <v>4527</v>
      </c>
    </row>
    <row r="452" spans="1:38" ht="11.1" customHeight="1" x14ac:dyDescent="0.2">
      <c r="A452" s="4" t="s">
        <v>935</v>
      </c>
      <c r="B452" s="4" t="s">
        <v>936</v>
      </c>
      <c r="C452" s="4" t="s">
        <v>1622</v>
      </c>
      <c r="D452" s="4">
        <v>5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>
        <v>17</v>
      </c>
      <c r="R452" s="6">
        <v>2</v>
      </c>
      <c r="S452" s="6">
        <v>64</v>
      </c>
      <c r="T452" s="6">
        <v>14</v>
      </c>
      <c r="U452" s="5"/>
      <c r="V452" s="5"/>
      <c r="W452" s="6">
        <v>80</v>
      </c>
      <c r="X452" s="6">
        <v>10</v>
      </c>
      <c r="Y452" s="6">
        <v>15</v>
      </c>
      <c r="Z452" s="5"/>
      <c r="AA452" s="5"/>
      <c r="AB452" s="6">
        <v>12</v>
      </c>
      <c r="AC452" s="6">
        <v>1</v>
      </c>
      <c r="AD452" s="6">
        <v>11</v>
      </c>
      <c r="AE452" s="6">
        <v>50</v>
      </c>
      <c r="AF452" s="6">
        <v>73</v>
      </c>
      <c r="AG452" s="6">
        <v>5</v>
      </c>
      <c r="AH452" s="6">
        <v>6</v>
      </c>
      <c r="AI452" s="6">
        <v>64</v>
      </c>
      <c r="AJ452" s="6">
        <v>6</v>
      </c>
      <c r="AK452" s="6">
        <v>18</v>
      </c>
      <c r="AL452" s="6">
        <v>448</v>
      </c>
    </row>
    <row r="453" spans="1:38" ht="11.1" customHeight="1" x14ac:dyDescent="0.2">
      <c r="A453" s="4" t="s">
        <v>937</v>
      </c>
      <c r="B453" s="4" t="s">
        <v>938</v>
      </c>
      <c r="C453" s="4" t="s">
        <v>1623</v>
      </c>
      <c r="D453" s="4">
        <v>10</v>
      </c>
      <c r="E453" s="5"/>
      <c r="F453" s="5"/>
      <c r="G453" s="5"/>
      <c r="H453" s="5"/>
      <c r="I453" s="5"/>
      <c r="J453" s="5"/>
      <c r="K453" s="5"/>
      <c r="L453" s="5"/>
      <c r="M453" s="5"/>
      <c r="N453" s="6">
        <v>10</v>
      </c>
      <c r="O453" s="5"/>
      <c r="P453" s="6">
        <v>35</v>
      </c>
      <c r="Q453" s="6">
        <v>128</v>
      </c>
      <c r="R453" s="5"/>
      <c r="S453" s="5"/>
      <c r="T453" s="6">
        <v>36</v>
      </c>
      <c r="U453" s="5"/>
      <c r="V453" s="5"/>
      <c r="W453" s="5"/>
      <c r="X453" s="5"/>
      <c r="Y453" s="6">
        <v>2</v>
      </c>
      <c r="Z453" s="5"/>
      <c r="AA453" s="5"/>
      <c r="AB453" s="6">
        <v>2</v>
      </c>
      <c r="AC453" s="6">
        <v>35</v>
      </c>
      <c r="AD453" s="5"/>
      <c r="AE453" s="6">
        <v>21</v>
      </c>
      <c r="AF453" s="6">
        <v>20</v>
      </c>
      <c r="AG453" s="5"/>
      <c r="AH453" s="5"/>
      <c r="AI453" s="5"/>
      <c r="AJ453" s="5"/>
      <c r="AK453" s="5"/>
      <c r="AL453" s="6">
        <v>289</v>
      </c>
    </row>
    <row r="454" spans="1:38" ht="11.1" customHeight="1" x14ac:dyDescent="0.2">
      <c r="A454" s="4" t="s">
        <v>939</v>
      </c>
      <c r="B454" s="4" t="s">
        <v>940</v>
      </c>
      <c r="C454" s="4" t="s">
        <v>1624</v>
      </c>
      <c r="D454" s="4">
        <v>6</v>
      </c>
      <c r="E454" s="5"/>
      <c r="F454" s="5"/>
      <c r="G454" s="6">
        <v>6</v>
      </c>
      <c r="H454" s="6">
        <v>151</v>
      </c>
      <c r="I454" s="6">
        <v>473</v>
      </c>
      <c r="J454" s="6">
        <v>31</v>
      </c>
      <c r="K454" s="6">
        <v>37</v>
      </c>
      <c r="L454" s="6">
        <v>750</v>
      </c>
      <c r="M454" s="6">
        <v>243</v>
      </c>
      <c r="N454" s="6">
        <v>133</v>
      </c>
      <c r="O454" s="6">
        <v>77</v>
      </c>
      <c r="P454" s="6">
        <v>52</v>
      </c>
      <c r="Q454" s="6">
        <v>78</v>
      </c>
      <c r="R454" s="6">
        <v>66</v>
      </c>
      <c r="S454" s="6">
        <v>49</v>
      </c>
      <c r="T454" s="6">
        <v>586</v>
      </c>
      <c r="U454" s="6">
        <v>42</v>
      </c>
      <c r="V454" s="6">
        <v>69</v>
      </c>
      <c r="W454" s="6">
        <v>82</v>
      </c>
      <c r="X454" s="6">
        <v>94</v>
      </c>
      <c r="Y454" s="6">
        <v>71</v>
      </c>
      <c r="Z454" s="6">
        <v>68</v>
      </c>
      <c r="AA454" s="6">
        <v>34</v>
      </c>
      <c r="AB454" s="6">
        <v>7</v>
      </c>
      <c r="AC454" s="6">
        <v>68</v>
      </c>
      <c r="AD454" s="6">
        <v>71</v>
      </c>
      <c r="AE454" s="6">
        <v>541</v>
      </c>
      <c r="AF454" s="6">
        <v>166</v>
      </c>
      <c r="AG454" s="6">
        <v>65</v>
      </c>
      <c r="AH454" s="6">
        <v>75</v>
      </c>
      <c r="AI454" s="6">
        <v>6</v>
      </c>
      <c r="AJ454" s="6">
        <v>50</v>
      </c>
      <c r="AK454" s="6">
        <v>16</v>
      </c>
      <c r="AL454" s="7">
        <v>4257</v>
      </c>
    </row>
    <row r="455" spans="1:38" ht="11.1" customHeight="1" x14ac:dyDescent="0.2">
      <c r="A455" s="4" t="s">
        <v>941</v>
      </c>
      <c r="B455" s="4" t="s">
        <v>942</v>
      </c>
      <c r="C455" s="4" t="s">
        <v>1625</v>
      </c>
      <c r="D455" s="4">
        <v>6</v>
      </c>
      <c r="E455" s="5"/>
      <c r="F455" s="5"/>
      <c r="G455" s="6">
        <v>3</v>
      </c>
      <c r="H455" s="6">
        <v>59</v>
      </c>
      <c r="I455" s="6">
        <v>126</v>
      </c>
      <c r="J455" s="5"/>
      <c r="K455" s="6">
        <v>327</v>
      </c>
      <c r="L455" s="6">
        <v>3</v>
      </c>
      <c r="M455" s="6">
        <v>33</v>
      </c>
      <c r="N455" s="6">
        <v>212</v>
      </c>
      <c r="O455" s="6">
        <v>17</v>
      </c>
      <c r="P455" s="6">
        <v>94</v>
      </c>
      <c r="Q455" s="5"/>
      <c r="R455" s="6">
        <v>30</v>
      </c>
      <c r="S455" s="6">
        <v>40</v>
      </c>
      <c r="T455" s="6">
        <v>166</v>
      </c>
      <c r="U455" s="5"/>
      <c r="V455" s="5"/>
      <c r="W455" s="5"/>
      <c r="X455" s="5"/>
      <c r="Y455" s="5"/>
      <c r="Z455" s="6">
        <v>4</v>
      </c>
      <c r="AA455" s="5"/>
      <c r="AB455" s="6">
        <v>1</v>
      </c>
      <c r="AC455" s="5"/>
      <c r="AD455" s="6">
        <v>3</v>
      </c>
      <c r="AE455" s="6">
        <v>142</v>
      </c>
      <c r="AF455" s="6">
        <v>1</v>
      </c>
      <c r="AG455" s="5"/>
      <c r="AH455" s="6">
        <v>10</v>
      </c>
      <c r="AI455" s="6">
        <v>45</v>
      </c>
      <c r="AJ455" s="6">
        <v>3</v>
      </c>
      <c r="AK455" s="6">
        <v>6</v>
      </c>
      <c r="AL455" s="7">
        <v>1325</v>
      </c>
    </row>
    <row r="456" spans="1:38" ht="11.1" customHeight="1" x14ac:dyDescent="0.2">
      <c r="A456" s="4" t="s">
        <v>943</v>
      </c>
      <c r="B456" s="4" t="s">
        <v>944</v>
      </c>
      <c r="C456" s="4" t="s">
        <v>1626</v>
      </c>
      <c r="D456" s="4">
        <v>15</v>
      </c>
      <c r="E456" s="6">
        <v>46</v>
      </c>
      <c r="F456" s="6">
        <v>4</v>
      </c>
      <c r="G456" s="6">
        <v>257</v>
      </c>
      <c r="H456" s="6">
        <v>484</v>
      </c>
      <c r="I456" s="6">
        <v>457</v>
      </c>
      <c r="J456" s="6">
        <v>477</v>
      </c>
      <c r="K456" s="6">
        <v>339</v>
      </c>
      <c r="L456" s="6">
        <v>390</v>
      </c>
      <c r="M456" s="6">
        <v>648</v>
      </c>
      <c r="N456" s="6">
        <v>601</v>
      </c>
      <c r="O456" s="6">
        <v>383</v>
      </c>
      <c r="P456" s="6">
        <v>249</v>
      </c>
      <c r="Q456" s="6">
        <v>552</v>
      </c>
      <c r="R456" s="6">
        <v>393</v>
      </c>
      <c r="S456" s="6">
        <v>295</v>
      </c>
      <c r="T456" s="6">
        <v>395</v>
      </c>
      <c r="U456" s="6">
        <v>435</v>
      </c>
      <c r="V456" s="6">
        <v>327</v>
      </c>
      <c r="W456" s="6">
        <v>608</v>
      </c>
      <c r="X456" s="6">
        <v>668</v>
      </c>
      <c r="Y456" s="6">
        <v>328</v>
      </c>
      <c r="Z456" s="6">
        <v>461</v>
      </c>
      <c r="AA456" s="6">
        <v>602</v>
      </c>
      <c r="AB456" s="6">
        <v>507</v>
      </c>
      <c r="AC456" s="6">
        <v>268</v>
      </c>
      <c r="AD456" s="6">
        <v>199</v>
      </c>
      <c r="AE456" s="6">
        <v>239</v>
      </c>
      <c r="AF456" s="6">
        <v>401</v>
      </c>
      <c r="AG456" s="6">
        <v>276</v>
      </c>
      <c r="AH456" s="6">
        <v>311</v>
      </c>
      <c r="AI456" s="6">
        <v>611</v>
      </c>
      <c r="AJ456" s="6">
        <v>299</v>
      </c>
      <c r="AK456" s="6">
        <v>320</v>
      </c>
      <c r="AL456" s="7">
        <v>12830</v>
      </c>
    </row>
    <row r="457" spans="1:38" ht="11.1" customHeight="1" x14ac:dyDescent="0.2">
      <c r="A457" s="4" t="s">
        <v>945</v>
      </c>
      <c r="B457" s="4" t="s">
        <v>946</v>
      </c>
      <c r="C457" s="4" t="s">
        <v>1627</v>
      </c>
      <c r="D457" s="4">
        <v>15</v>
      </c>
      <c r="E457" s="6">
        <v>7</v>
      </c>
      <c r="F457" s="6">
        <v>15</v>
      </c>
      <c r="G457" s="6">
        <v>24</v>
      </c>
      <c r="H457" s="6">
        <v>165</v>
      </c>
      <c r="I457" s="6">
        <v>105</v>
      </c>
      <c r="J457" s="6">
        <v>73</v>
      </c>
      <c r="K457" s="6">
        <v>168</v>
      </c>
      <c r="L457" s="6">
        <v>109</v>
      </c>
      <c r="M457" s="6">
        <v>210</v>
      </c>
      <c r="N457" s="6">
        <v>253</v>
      </c>
      <c r="O457" s="6">
        <v>121</v>
      </c>
      <c r="P457" s="6">
        <v>129</v>
      </c>
      <c r="Q457" s="6">
        <v>189</v>
      </c>
      <c r="R457" s="6">
        <v>57</v>
      </c>
      <c r="S457" s="6">
        <v>108</v>
      </c>
      <c r="T457" s="6">
        <v>110</v>
      </c>
      <c r="U457" s="6">
        <v>127</v>
      </c>
      <c r="V457" s="6">
        <v>81</v>
      </c>
      <c r="W457" s="6">
        <v>139</v>
      </c>
      <c r="X457" s="6">
        <v>252</v>
      </c>
      <c r="Y457" s="6">
        <v>91</v>
      </c>
      <c r="Z457" s="6">
        <v>130</v>
      </c>
      <c r="AA457" s="6">
        <v>141</v>
      </c>
      <c r="AB457" s="6">
        <v>55</v>
      </c>
      <c r="AC457" s="6">
        <v>145</v>
      </c>
      <c r="AD457" s="6">
        <v>86</v>
      </c>
      <c r="AE457" s="6">
        <v>63</v>
      </c>
      <c r="AF457" s="6">
        <v>169</v>
      </c>
      <c r="AG457" s="6">
        <v>84</v>
      </c>
      <c r="AH457" s="6">
        <v>95</v>
      </c>
      <c r="AI457" s="6">
        <v>170</v>
      </c>
      <c r="AJ457" s="6">
        <v>61</v>
      </c>
      <c r="AK457" s="6">
        <v>150</v>
      </c>
      <c r="AL457" s="7">
        <v>3882</v>
      </c>
    </row>
    <row r="458" spans="1:38" ht="11.1" customHeight="1" x14ac:dyDescent="0.2">
      <c r="A458" s="4" t="s">
        <v>947</v>
      </c>
      <c r="B458" s="4" t="s">
        <v>948</v>
      </c>
      <c r="C458" s="4" t="s">
        <v>1628</v>
      </c>
      <c r="D458" s="4">
        <v>18</v>
      </c>
      <c r="E458" s="5"/>
      <c r="F458" s="6">
        <v>2</v>
      </c>
      <c r="G458" s="6">
        <v>8</v>
      </c>
      <c r="H458" s="6">
        <v>46</v>
      </c>
      <c r="I458" s="6">
        <v>162</v>
      </c>
      <c r="J458" s="6">
        <v>16</v>
      </c>
      <c r="K458" s="6">
        <v>42</v>
      </c>
      <c r="L458" s="6">
        <v>108</v>
      </c>
      <c r="M458" s="6">
        <v>127</v>
      </c>
      <c r="N458" s="6">
        <v>52</v>
      </c>
      <c r="O458" s="6">
        <v>56</v>
      </c>
      <c r="P458" s="6">
        <v>57</v>
      </c>
      <c r="Q458" s="6">
        <v>145</v>
      </c>
      <c r="R458" s="6">
        <v>13</v>
      </c>
      <c r="S458" s="6">
        <v>97</v>
      </c>
      <c r="T458" s="6">
        <v>36</v>
      </c>
      <c r="U458" s="6">
        <v>26</v>
      </c>
      <c r="V458" s="6">
        <v>85</v>
      </c>
      <c r="W458" s="6">
        <v>18</v>
      </c>
      <c r="X458" s="6">
        <v>104</v>
      </c>
      <c r="Y458" s="6">
        <v>9</v>
      </c>
      <c r="Z458" s="6">
        <v>26</v>
      </c>
      <c r="AA458" s="6">
        <v>43</v>
      </c>
      <c r="AB458" s="6">
        <v>24</v>
      </c>
      <c r="AC458" s="6">
        <v>4</v>
      </c>
      <c r="AD458" s="6">
        <v>3</v>
      </c>
      <c r="AE458" s="6">
        <v>18</v>
      </c>
      <c r="AF458" s="6">
        <v>24</v>
      </c>
      <c r="AG458" s="6">
        <v>9</v>
      </c>
      <c r="AH458" s="6">
        <v>24</v>
      </c>
      <c r="AI458" s="6">
        <v>34</v>
      </c>
      <c r="AJ458" s="6">
        <v>3</v>
      </c>
      <c r="AK458" s="6">
        <v>39</v>
      </c>
      <c r="AL458" s="7">
        <v>1460</v>
      </c>
    </row>
    <row r="459" spans="1:38" ht="11.1" customHeight="1" x14ac:dyDescent="0.2">
      <c r="A459" s="4" t="s">
        <v>949</v>
      </c>
      <c r="B459" s="4" t="s">
        <v>950</v>
      </c>
      <c r="C459" s="4" t="s">
        <v>1629</v>
      </c>
      <c r="D459" s="4">
        <v>10</v>
      </c>
      <c r="E459" s="5"/>
      <c r="F459" s="5"/>
      <c r="G459" s="6">
        <v>55</v>
      </c>
      <c r="H459" s="6">
        <v>136</v>
      </c>
      <c r="I459" s="6">
        <v>157</v>
      </c>
      <c r="J459" s="6">
        <v>28</v>
      </c>
      <c r="K459" s="6">
        <v>218</v>
      </c>
      <c r="L459" s="6">
        <v>166</v>
      </c>
      <c r="M459" s="6">
        <v>257</v>
      </c>
      <c r="N459" s="6">
        <v>126</v>
      </c>
      <c r="O459" s="6">
        <v>126</v>
      </c>
      <c r="P459" s="6">
        <v>79</v>
      </c>
      <c r="Q459" s="6">
        <v>180</v>
      </c>
      <c r="R459" s="6">
        <v>63</v>
      </c>
      <c r="S459" s="6">
        <v>97</v>
      </c>
      <c r="T459" s="6">
        <v>143</v>
      </c>
      <c r="U459" s="6">
        <v>73</v>
      </c>
      <c r="V459" s="6">
        <v>190</v>
      </c>
      <c r="W459" s="6">
        <v>39</v>
      </c>
      <c r="X459" s="6">
        <v>155</v>
      </c>
      <c r="Y459" s="6">
        <v>87</v>
      </c>
      <c r="Z459" s="6">
        <v>151</v>
      </c>
      <c r="AA459" s="6">
        <v>172</v>
      </c>
      <c r="AB459" s="6">
        <v>41</v>
      </c>
      <c r="AC459" s="6">
        <v>45</v>
      </c>
      <c r="AD459" s="6">
        <v>93</v>
      </c>
      <c r="AE459" s="6">
        <v>76</v>
      </c>
      <c r="AF459" s="6">
        <v>73</v>
      </c>
      <c r="AG459" s="6">
        <v>58</v>
      </c>
      <c r="AH459" s="6">
        <v>103</v>
      </c>
      <c r="AI459" s="6">
        <v>114</v>
      </c>
      <c r="AJ459" s="6">
        <v>84</v>
      </c>
      <c r="AK459" s="6">
        <v>44</v>
      </c>
      <c r="AL459" s="7">
        <v>3429</v>
      </c>
    </row>
    <row r="460" spans="1:38" ht="11.1" customHeight="1" x14ac:dyDescent="0.2">
      <c r="A460" s="4" t="s">
        <v>951</v>
      </c>
      <c r="B460" s="4" t="s">
        <v>952</v>
      </c>
      <c r="C460" s="4" t="s">
        <v>1630</v>
      </c>
      <c r="D460" s="4">
        <v>12</v>
      </c>
      <c r="E460" s="6">
        <v>43</v>
      </c>
      <c r="F460" s="6">
        <v>12</v>
      </c>
      <c r="G460" s="6">
        <v>482</v>
      </c>
      <c r="H460" s="6">
        <v>764</v>
      </c>
      <c r="I460" s="6">
        <v>867</v>
      </c>
      <c r="J460" s="6">
        <v>548</v>
      </c>
      <c r="K460" s="6">
        <v>492</v>
      </c>
      <c r="L460" s="6">
        <v>522</v>
      </c>
      <c r="M460" s="6">
        <v>669</v>
      </c>
      <c r="N460" s="6">
        <v>610</v>
      </c>
      <c r="O460" s="6">
        <v>438</v>
      </c>
      <c r="P460" s="6">
        <v>511</v>
      </c>
      <c r="Q460" s="6">
        <v>362</v>
      </c>
      <c r="R460" s="6">
        <v>287</v>
      </c>
      <c r="S460" s="6">
        <v>252</v>
      </c>
      <c r="T460" s="6">
        <v>593</v>
      </c>
      <c r="U460" s="6">
        <v>633</v>
      </c>
      <c r="V460" s="6">
        <v>483</v>
      </c>
      <c r="W460" s="6">
        <v>418</v>
      </c>
      <c r="X460" s="6">
        <v>636</v>
      </c>
      <c r="Y460" s="6">
        <v>264</v>
      </c>
      <c r="Z460" s="6">
        <v>438</v>
      </c>
      <c r="AA460" s="6">
        <v>481</v>
      </c>
      <c r="AB460" s="6">
        <v>835</v>
      </c>
      <c r="AC460" s="6">
        <v>357</v>
      </c>
      <c r="AD460" s="6">
        <v>257</v>
      </c>
      <c r="AE460" s="6">
        <v>288</v>
      </c>
      <c r="AF460" s="6">
        <v>378</v>
      </c>
      <c r="AG460" s="6">
        <v>396</v>
      </c>
      <c r="AH460" s="6">
        <v>379</v>
      </c>
      <c r="AI460" s="6">
        <v>716</v>
      </c>
      <c r="AJ460" s="6">
        <v>492</v>
      </c>
      <c r="AK460" s="6">
        <v>473</v>
      </c>
      <c r="AL460" s="7">
        <v>15376</v>
      </c>
    </row>
    <row r="461" spans="1:38" ht="11.1" customHeight="1" x14ac:dyDescent="0.2">
      <c r="A461" s="4" t="s">
        <v>953</v>
      </c>
      <c r="B461" s="4" t="s">
        <v>954</v>
      </c>
      <c r="C461" s="4" t="s">
        <v>1631</v>
      </c>
      <c r="D461" s="4">
        <v>8</v>
      </c>
      <c r="E461" s="6">
        <v>61</v>
      </c>
      <c r="F461" s="6">
        <v>5</v>
      </c>
      <c r="G461" s="6">
        <v>313</v>
      </c>
      <c r="H461" s="7">
        <v>1195</v>
      </c>
      <c r="I461" s="7">
        <v>1107</v>
      </c>
      <c r="J461" s="6">
        <v>842</v>
      </c>
      <c r="K461" s="6">
        <v>830</v>
      </c>
      <c r="L461" s="7">
        <v>1102</v>
      </c>
      <c r="M461" s="7">
        <v>1309</v>
      </c>
      <c r="N461" s="7">
        <v>1196</v>
      </c>
      <c r="O461" s="7">
        <v>1113</v>
      </c>
      <c r="P461" s="7">
        <v>1104</v>
      </c>
      <c r="Q461" s="6">
        <v>694</v>
      </c>
      <c r="R461" s="6">
        <v>921</v>
      </c>
      <c r="S461" s="6">
        <v>814</v>
      </c>
      <c r="T461" s="6">
        <v>978</v>
      </c>
      <c r="U461" s="7">
        <v>1089</v>
      </c>
      <c r="V461" s="6">
        <v>759</v>
      </c>
      <c r="W461" s="6">
        <v>967</v>
      </c>
      <c r="X461" s="7">
        <v>1306</v>
      </c>
      <c r="Y461" s="7">
        <v>1043</v>
      </c>
      <c r="Z461" s="7">
        <v>1029</v>
      </c>
      <c r="AA461" s="7">
        <v>1368</v>
      </c>
      <c r="AB461" s="6">
        <v>955</v>
      </c>
      <c r="AC461" s="6">
        <v>996</v>
      </c>
      <c r="AD461" s="6">
        <v>648</v>
      </c>
      <c r="AE461" s="6">
        <v>680</v>
      </c>
      <c r="AF461" s="7">
        <v>1016</v>
      </c>
      <c r="AG461" s="6">
        <v>807</v>
      </c>
      <c r="AH461" s="7">
        <v>1213</v>
      </c>
      <c r="AI461" s="6">
        <v>799</v>
      </c>
      <c r="AJ461" s="6">
        <v>886</v>
      </c>
      <c r="AK461" s="6">
        <v>839</v>
      </c>
      <c r="AL461" s="7">
        <v>29984</v>
      </c>
    </row>
    <row r="462" spans="1:38" ht="11.1" customHeight="1" x14ac:dyDescent="0.2">
      <c r="A462" s="4" t="s">
        <v>955</v>
      </c>
      <c r="B462" s="4" t="s">
        <v>956</v>
      </c>
      <c r="C462" s="4" t="s">
        <v>1632</v>
      </c>
      <c r="D462" s="4">
        <v>6</v>
      </c>
      <c r="E462" s="6">
        <v>3</v>
      </c>
      <c r="F462" s="6">
        <v>57</v>
      </c>
      <c r="G462" s="6">
        <v>18</v>
      </c>
      <c r="H462" s="6">
        <v>65</v>
      </c>
      <c r="I462" s="6">
        <v>35</v>
      </c>
      <c r="J462" s="6">
        <v>63</v>
      </c>
      <c r="K462" s="6">
        <v>37</v>
      </c>
      <c r="L462" s="6">
        <v>99</v>
      </c>
      <c r="M462" s="6">
        <v>93</v>
      </c>
      <c r="N462" s="6">
        <v>51</v>
      </c>
      <c r="O462" s="6">
        <v>32</v>
      </c>
      <c r="P462" s="6">
        <v>68</v>
      </c>
      <c r="Q462" s="6">
        <v>32</v>
      </c>
      <c r="R462" s="6">
        <v>162</v>
      </c>
      <c r="S462" s="6">
        <v>60</v>
      </c>
      <c r="T462" s="6">
        <v>29</v>
      </c>
      <c r="U462" s="6">
        <v>39</v>
      </c>
      <c r="V462" s="6">
        <v>43</v>
      </c>
      <c r="W462" s="6">
        <v>22</v>
      </c>
      <c r="X462" s="6">
        <v>43</v>
      </c>
      <c r="Y462" s="6">
        <v>102</v>
      </c>
      <c r="Z462" s="6">
        <v>40</v>
      </c>
      <c r="AA462" s="6">
        <v>6</v>
      </c>
      <c r="AB462" s="6">
        <v>37</v>
      </c>
      <c r="AC462" s="6">
        <v>50</v>
      </c>
      <c r="AD462" s="6">
        <v>23</v>
      </c>
      <c r="AE462" s="6">
        <v>5</v>
      </c>
      <c r="AF462" s="6">
        <v>26</v>
      </c>
      <c r="AG462" s="6">
        <v>40</v>
      </c>
      <c r="AH462" s="6">
        <v>33</v>
      </c>
      <c r="AI462" s="6">
        <v>46</v>
      </c>
      <c r="AJ462" s="6">
        <v>44</v>
      </c>
      <c r="AK462" s="6">
        <v>57</v>
      </c>
      <c r="AL462" s="7">
        <v>1560</v>
      </c>
    </row>
    <row r="463" spans="1:38" ht="11.1" customHeight="1" x14ac:dyDescent="0.2">
      <c r="A463" s="4" t="s">
        <v>957</v>
      </c>
      <c r="B463" s="4" t="s">
        <v>958</v>
      </c>
      <c r="C463" s="4" t="s">
        <v>1633</v>
      </c>
      <c r="D463" s="4">
        <v>5</v>
      </c>
      <c r="E463" s="6">
        <v>102</v>
      </c>
      <c r="F463" s="6">
        <v>1</v>
      </c>
      <c r="G463" s="6">
        <v>119</v>
      </c>
      <c r="H463" s="6">
        <v>259</v>
      </c>
      <c r="I463" s="6">
        <v>566</v>
      </c>
      <c r="J463" s="6">
        <v>368</v>
      </c>
      <c r="K463" s="6">
        <v>369</v>
      </c>
      <c r="L463" s="6">
        <v>377</v>
      </c>
      <c r="M463" s="6">
        <v>525</v>
      </c>
      <c r="N463" s="6">
        <v>285</v>
      </c>
      <c r="O463" s="6">
        <v>320</v>
      </c>
      <c r="P463" s="6">
        <v>384</v>
      </c>
      <c r="Q463" s="6">
        <v>328</v>
      </c>
      <c r="R463" s="6">
        <v>423</v>
      </c>
      <c r="S463" s="6">
        <v>261</v>
      </c>
      <c r="T463" s="6">
        <v>305</v>
      </c>
      <c r="U463" s="6">
        <v>262</v>
      </c>
      <c r="V463" s="6">
        <v>248</v>
      </c>
      <c r="W463" s="6">
        <v>307</v>
      </c>
      <c r="X463" s="6">
        <v>309</v>
      </c>
      <c r="Y463" s="6">
        <v>301</v>
      </c>
      <c r="Z463" s="6">
        <v>401</v>
      </c>
      <c r="AA463" s="6">
        <v>201</v>
      </c>
      <c r="AB463" s="6">
        <v>358</v>
      </c>
      <c r="AC463" s="6">
        <v>533</v>
      </c>
      <c r="AD463" s="6">
        <v>347</v>
      </c>
      <c r="AE463" s="6">
        <v>198</v>
      </c>
      <c r="AF463" s="6">
        <v>524</v>
      </c>
      <c r="AG463" s="6">
        <v>246</v>
      </c>
      <c r="AH463" s="6">
        <v>544</v>
      </c>
      <c r="AI463" s="6">
        <v>397</v>
      </c>
      <c r="AJ463" s="6">
        <v>426</v>
      </c>
      <c r="AK463" s="6">
        <v>212</v>
      </c>
      <c r="AL463" s="7">
        <v>10806</v>
      </c>
    </row>
    <row r="464" spans="1:38" ht="11.1" customHeight="1" x14ac:dyDescent="0.2">
      <c r="A464" s="4" t="s">
        <v>959</v>
      </c>
      <c r="B464" s="4" t="s">
        <v>960</v>
      </c>
      <c r="C464" s="4" t="s">
        <v>1634</v>
      </c>
      <c r="D464" s="4">
        <v>5</v>
      </c>
      <c r="E464" s="6">
        <v>4</v>
      </c>
      <c r="F464" s="6">
        <v>39</v>
      </c>
      <c r="G464" s="6">
        <v>64</v>
      </c>
      <c r="H464" s="6">
        <v>68</v>
      </c>
      <c r="I464" s="6">
        <v>52</v>
      </c>
      <c r="J464" s="6">
        <v>50</v>
      </c>
      <c r="K464" s="6">
        <v>31</v>
      </c>
      <c r="L464" s="6">
        <v>54</v>
      </c>
      <c r="M464" s="6">
        <v>131</v>
      </c>
      <c r="N464" s="6">
        <v>21</v>
      </c>
      <c r="O464" s="6">
        <v>21</v>
      </c>
      <c r="P464" s="6">
        <v>67</v>
      </c>
      <c r="Q464" s="6">
        <v>29</v>
      </c>
      <c r="R464" s="6">
        <v>69</v>
      </c>
      <c r="S464" s="6">
        <v>62</v>
      </c>
      <c r="T464" s="6">
        <v>23</v>
      </c>
      <c r="U464" s="6">
        <v>16</v>
      </c>
      <c r="V464" s="6">
        <v>30</v>
      </c>
      <c r="W464" s="6">
        <v>22</v>
      </c>
      <c r="X464" s="6">
        <v>17</v>
      </c>
      <c r="Y464" s="6">
        <v>104</v>
      </c>
      <c r="Z464" s="6">
        <v>9</v>
      </c>
      <c r="AA464" s="6">
        <v>24</v>
      </c>
      <c r="AB464" s="6">
        <v>70</v>
      </c>
      <c r="AC464" s="6">
        <v>21</v>
      </c>
      <c r="AD464" s="6">
        <v>40</v>
      </c>
      <c r="AE464" s="6">
        <v>20</v>
      </c>
      <c r="AF464" s="6">
        <v>29</v>
      </c>
      <c r="AG464" s="6">
        <v>6</v>
      </c>
      <c r="AH464" s="6">
        <v>16</v>
      </c>
      <c r="AI464" s="6">
        <v>45</v>
      </c>
      <c r="AJ464" s="6">
        <v>38</v>
      </c>
      <c r="AK464" s="6">
        <v>24</v>
      </c>
      <c r="AL464" s="7">
        <v>1316</v>
      </c>
    </row>
    <row r="465" spans="1:38" ht="23.1" customHeight="1" x14ac:dyDescent="0.2">
      <c r="A465" s="4" t="s">
        <v>961</v>
      </c>
      <c r="B465" s="4" t="s">
        <v>962</v>
      </c>
      <c r="C465" s="4" t="s">
        <v>1635</v>
      </c>
      <c r="D465" s="4">
        <v>4</v>
      </c>
      <c r="E465" s="6">
        <v>79</v>
      </c>
      <c r="F465" s="6">
        <v>4</v>
      </c>
      <c r="G465" s="6">
        <v>97</v>
      </c>
      <c r="H465" s="6">
        <v>249</v>
      </c>
      <c r="I465" s="6">
        <v>257</v>
      </c>
      <c r="J465" s="6">
        <v>239</v>
      </c>
      <c r="K465" s="6">
        <v>317</v>
      </c>
      <c r="L465" s="6">
        <v>341</v>
      </c>
      <c r="M465" s="6">
        <v>419</v>
      </c>
      <c r="N465" s="6">
        <v>335</v>
      </c>
      <c r="O465" s="6">
        <v>201</v>
      </c>
      <c r="P465" s="6">
        <v>151</v>
      </c>
      <c r="Q465" s="6">
        <v>252</v>
      </c>
      <c r="R465" s="6">
        <v>259</v>
      </c>
      <c r="S465" s="6">
        <v>223</v>
      </c>
      <c r="T465" s="6">
        <v>287</v>
      </c>
      <c r="U465" s="6">
        <v>142</v>
      </c>
      <c r="V465" s="6">
        <v>319</v>
      </c>
      <c r="W465" s="6">
        <v>209</v>
      </c>
      <c r="X465" s="6">
        <v>242</v>
      </c>
      <c r="Y465" s="6">
        <v>151</v>
      </c>
      <c r="Z465" s="6">
        <v>170</v>
      </c>
      <c r="AA465" s="6">
        <v>201</v>
      </c>
      <c r="AB465" s="6">
        <v>335</v>
      </c>
      <c r="AC465" s="6">
        <v>303</v>
      </c>
      <c r="AD465" s="6">
        <v>167</v>
      </c>
      <c r="AE465" s="6">
        <v>149</v>
      </c>
      <c r="AF465" s="6">
        <v>282</v>
      </c>
      <c r="AG465" s="6">
        <v>219</v>
      </c>
      <c r="AH465" s="6">
        <v>398</v>
      </c>
      <c r="AI465" s="6">
        <v>242</v>
      </c>
      <c r="AJ465" s="6">
        <v>255</v>
      </c>
      <c r="AK465" s="6">
        <v>239</v>
      </c>
      <c r="AL465" s="7">
        <v>7733</v>
      </c>
    </row>
    <row r="466" spans="1:38" ht="11.1" customHeight="1" x14ac:dyDescent="0.2">
      <c r="A466" s="4" t="s">
        <v>963</v>
      </c>
      <c r="B466" s="4" t="s">
        <v>964</v>
      </c>
      <c r="C466" s="4" t="s">
        <v>1636</v>
      </c>
      <c r="D466" s="4">
        <v>8</v>
      </c>
      <c r="E466" s="6">
        <v>1</v>
      </c>
      <c r="F466" s="5"/>
      <c r="G466" s="6">
        <v>1</v>
      </c>
      <c r="H466" s="6">
        <v>3</v>
      </c>
      <c r="I466" s="6">
        <v>5</v>
      </c>
      <c r="J466" s="6">
        <v>4</v>
      </c>
      <c r="K466" s="6">
        <v>53</v>
      </c>
      <c r="L466" s="6">
        <v>4</v>
      </c>
      <c r="M466" s="6">
        <v>2</v>
      </c>
      <c r="N466" s="6">
        <v>4</v>
      </c>
      <c r="O466" s="6">
        <v>1</v>
      </c>
      <c r="P466" s="5"/>
      <c r="Q466" s="6">
        <v>2</v>
      </c>
      <c r="R466" s="6">
        <v>3</v>
      </c>
      <c r="S466" s="6">
        <v>8</v>
      </c>
      <c r="T466" s="6">
        <v>1</v>
      </c>
      <c r="U466" s="6">
        <v>2</v>
      </c>
      <c r="V466" s="5"/>
      <c r="W466" s="6">
        <v>24</v>
      </c>
      <c r="X466" s="6">
        <v>1</v>
      </c>
      <c r="Y466" s="5"/>
      <c r="Z466" s="5"/>
      <c r="AA466" s="6">
        <v>3</v>
      </c>
      <c r="AB466" s="6">
        <v>2</v>
      </c>
      <c r="AC466" s="6">
        <v>1</v>
      </c>
      <c r="AD466" s="5"/>
      <c r="AE466" s="6">
        <v>2</v>
      </c>
      <c r="AF466" s="6">
        <v>2</v>
      </c>
      <c r="AG466" s="6">
        <v>3</v>
      </c>
      <c r="AH466" s="6">
        <v>1</v>
      </c>
      <c r="AI466" s="5"/>
      <c r="AJ466" s="6">
        <v>2</v>
      </c>
      <c r="AK466" s="6">
        <v>10</v>
      </c>
      <c r="AL466" s="6">
        <v>145</v>
      </c>
    </row>
    <row r="467" spans="1:38" ht="11.1" customHeight="1" x14ac:dyDescent="0.2">
      <c r="A467" s="4" t="s">
        <v>965</v>
      </c>
      <c r="B467" s="4" t="s">
        <v>966</v>
      </c>
      <c r="C467" s="4" t="s">
        <v>1637</v>
      </c>
      <c r="D467" s="4">
        <v>5</v>
      </c>
      <c r="E467" s="5"/>
      <c r="F467" s="6">
        <v>8</v>
      </c>
      <c r="G467" s="5"/>
      <c r="H467" s="6">
        <v>7</v>
      </c>
      <c r="I467" s="6">
        <v>9</v>
      </c>
      <c r="J467" s="6">
        <v>15</v>
      </c>
      <c r="K467" s="6">
        <v>1</v>
      </c>
      <c r="L467" s="6">
        <v>35</v>
      </c>
      <c r="M467" s="6">
        <v>4</v>
      </c>
      <c r="N467" s="6">
        <v>16</v>
      </c>
      <c r="O467" s="6">
        <v>4</v>
      </c>
      <c r="P467" s="6">
        <v>3</v>
      </c>
      <c r="Q467" s="5"/>
      <c r="R467" s="6">
        <v>8</v>
      </c>
      <c r="S467" s="6">
        <v>40</v>
      </c>
      <c r="T467" s="6">
        <v>1</v>
      </c>
      <c r="U467" s="5"/>
      <c r="V467" s="5"/>
      <c r="W467" s="6">
        <v>1</v>
      </c>
      <c r="X467" s="6">
        <v>1</v>
      </c>
      <c r="Y467" s="6">
        <v>1</v>
      </c>
      <c r="Z467" s="5"/>
      <c r="AA467" s="5"/>
      <c r="AB467" s="6">
        <v>1</v>
      </c>
      <c r="AC467" s="6">
        <v>2</v>
      </c>
      <c r="AD467" s="5"/>
      <c r="AE467" s="6">
        <v>1</v>
      </c>
      <c r="AF467" s="5"/>
      <c r="AG467" s="6">
        <v>3</v>
      </c>
      <c r="AH467" s="6">
        <v>3</v>
      </c>
      <c r="AI467" s="6">
        <v>3</v>
      </c>
      <c r="AJ467" s="6">
        <v>1</v>
      </c>
      <c r="AK467" s="5"/>
      <c r="AL467" s="6">
        <v>168</v>
      </c>
    </row>
    <row r="468" spans="1:38" ht="11.1" customHeight="1" x14ac:dyDescent="0.2">
      <c r="A468" s="4" t="s">
        <v>967</v>
      </c>
      <c r="B468" s="4" t="s">
        <v>968</v>
      </c>
      <c r="C468" s="4" t="s">
        <v>1638</v>
      </c>
      <c r="D468" s="4">
        <v>10</v>
      </c>
      <c r="E468" s="6">
        <v>16</v>
      </c>
      <c r="F468" s="5"/>
      <c r="G468" s="6">
        <v>2</v>
      </c>
      <c r="H468" s="6">
        <v>5</v>
      </c>
      <c r="I468" s="5"/>
      <c r="J468" s="6">
        <v>3</v>
      </c>
      <c r="K468" s="6">
        <v>30</v>
      </c>
      <c r="L468" s="5"/>
      <c r="M468" s="6">
        <v>3</v>
      </c>
      <c r="N468" s="5"/>
      <c r="O468" s="5"/>
      <c r="P468" s="5"/>
      <c r="Q468" s="6">
        <v>19</v>
      </c>
      <c r="R468" s="6">
        <v>5</v>
      </c>
      <c r="S468" s="6">
        <v>5</v>
      </c>
      <c r="T468" s="5"/>
      <c r="U468" s="5"/>
      <c r="V468" s="5"/>
      <c r="W468" s="6">
        <v>3</v>
      </c>
      <c r="X468" s="6">
        <v>1</v>
      </c>
      <c r="Y468" s="6">
        <v>2</v>
      </c>
      <c r="Z468" s="5"/>
      <c r="AA468" s="5"/>
      <c r="AB468" s="5"/>
      <c r="AC468" s="5"/>
      <c r="AD468" s="6">
        <v>4</v>
      </c>
      <c r="AE468" s="5"/>
      <c r="AF468" s="5"/>
      <c r="AG468" s="5"/>
      <c r="AH468" s="5"/>
      <c r="AI468" s="5"/>
      <c r="AJ468" s="5"/>
      <c r="AK468" s="5"/>
      <c r="AL468" s="6">
        <v>98</v>
      </c>
    </row>
    <row r="469" spans="1:38" ht="11.1" customHeight="1" x14ac:dyDescent="0.2">
      <c r="A469" s="4" t="s">
        <v>969</v>
      </c>
      <c r="B469" s="4" t="s">
        <v>970</v>
      </c>
      <c r="C469" s="4" t="s">
        <v>1639</v>
      </c>
      <c r="D469" s="4">
        <v>10</v>
      </c>
      <c r="E469" s="5"/>
      <c r="F469" s="5"/>
      <c r="G469" s="5"/>
      <c r="H469" s="5"/>
      <c r="I469" s="6">
        <v>1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6">
        <v>1</v>
      </c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6">
        <v>2</v>
      </c>
    </row>
    <row r="470" spans="1:38" ht="11.1" customHeight="1" x14ac:dyDescent="0.2">
      <c r="A470" s="4" t="s">
        <v>971</v>
      </c>
      <c r="B470" s="4" t="s">
        <v>972</v>
      </c>
      <c r="C470" s="4" t="s">
        <v>1640</v>
      </c>
      <c r="D470" s="4">
        <v>10</v>
      </c>
      <c r="E470" s="6">
        <v>93</v>
      </c>
      <c r="F470" s="6">
        <v>40</v>
      </c>
      <c r="G470" s="6">
        <v>26</v>
      </c>
      <c r="H470" s="6">
        <v>25</v>
      </c>
      <c r="I470" s="6">
        <v>119</v>
      </c>
      <c r="J470" s="6">
        <v>62</v>
      </c>
      <c r="K470" s="6">
        <v>26</v>
      </c>
      <c r="L470" s="6">
        <v>24</v>
      </c>
      <c r="M470" s="6">
        <v>29</v>
      </c>
      <c r="N470" s="6">
        <v>26</v>
      </c>
      <c r="O470" s="6">
        <v>70</v>
      </c>
      <c r="P470" s="6">
        <v>-23</v>
      </c>
      <c r="Q470" s="6">
        <v>32</v>
      </c>
      <c r="R470" s="6">
        <v>15</v>
      </c>
      <c r="S470" s="6">
        <v>3</v>
      </c>
      <c r="T470" s="6">
        <v>20</v>
      </c>
      <c r="U470" s="6">
        <v>25</v>
      </c>
      <c r="V470" s="6">
        <v>100</v>
      </c>
      <c r="W470" s="6">
        <v>12</v>
      </c>
      <c r="X470" s="6">
        <v>12</v>
      </c>
      <c r="Y470" s="6">
        <v>42</v>
      </c>
      <c r="Z470" s="6">
        <v>23</v>
      </c>
      <c r="AA470" s="6">
        <v>18</v>
      </c>
      <c r="AB470" s="6">
        <v>132</v>
      </c>
      <c r="AC470" s="6">
        <v>25</v>
      </c>
      <c r="AD470" s="6">
        <v>6</v>
      </c>
      <c r="AE470" s="6">
        <v>24</v>
      </c>
      <c r="AF470" s="6">
        <v>9</v>
      </c>
      <c r="AG470" s="6">
        <v>15</v>
      </c>
      <c r="AH470" s="6">
        <v>25</v>
      </c>
      <c r="AI470" s="6">
        <v>25</v>
      </c>
      <c r="AJ470" s="6">
        <v>31</v>
      </c>
      <c r="AK470" s="5"/>
      <c r="AL470" s="7">
        <v>1111</v>
      </c>
    </row>
    <row r="471" spans="1:38" ht="11.1" customHeight="1" x14ac:dyDescent="0.2">
      <c r="A471" s="4" t="s">
        <v>973</v>
      </c>
      <c r="B471" s="4" t="s">
        <v>974</v>
      </c>
      <c r="C471" s="4" t="s">
        <v>1641</v>
      </c>
      <c r="D471" s="4">
        <v>10</v>
      </c>
      <c r="E471" s="5"/>
      <c r="F471" s="6">
        <v>4</v>
      </c>
      <c r="G471" s="6">
        <v>30</v>
      </c>
      <c r="H471" s="6">
        <v>111</v>
      </c>
      <c r="I471" s="6">
        <v>115</v>
      </c>
      <c r="J471" s="6">
        <v>109</v>
      </c>
      <c r="K471" s="6">
        <v>71</v>
      </c>
      <c r="L471" s="6">
        <v>132</v>
      </c>
      <c r="M471" s="6">
        <v>111</v>
      </c>
      <c r="N471" s="6">
        <v>86</v>
      </c>
      <c r="O471" s="6">
        <v>55</v>
      </c>
      <c r="P471" s="6">
        <v>119</v>
      </c>
      <c r="Q471" s="6">
        <v>133</v>
      </c>
      <c r="R471" s="6">
        <v>32</v>
      </c>
      <c r="S471" s="6">
        <v>78</v>
      </c>
      <c r="T471" s="6">
        <v>65</v>
      </c>
      <c r="U471" s="6">
        <v>107</v>
      </c>
      <c r="V471" s="6">
        <v>131</v>
      </c>
      <c r="W471" s="6">
        <v>77</v>
      </c>
      <c r="X471" s="6">
        <v>27</v>
      </c>
      <c r="Y471" s="6">
        <v>75</v>
      </c>
      <c r="Z471" s="6">
        <v>145</v>
      </c>
      <c r="AA471" s="6">
        <v>67</v>
      </c>
      <c r="AB471" s="6">
        <v>120</v>
      </c>
      <c r="AC471" s="6">
        <v>17</v>
      </c>
      <c r="AD471" s="6">
        <v>28</v>
      </c>
      <c r="AE471" s="6">
        <v>53</v>
      </c>
      <c r="AF471" s="6">
        <v>15</v>
      </c>
      <c r="AG471" s="6">
        <v>20</v>
      </c>
      <c r="AH471" s="6">
        <v>110</v>
      </c>
      <c r="AI471" s="6">
        <v>47</v>
      </c>
      <c r="AJ471" s="6">
        <v>-68</v>
      </c>
      <c r="AK471" s="6">
        <v>33</v>
      </c>
      <c r="AL471" s="7">
        <v>2255</v>
      </c>
    </row>
    <row r="472" spans="1:38" ht="11.1" customHeight="1" x14ac:dyDescent="0.2">
      <c r="A472" s="4" t="s">
        <v>975</v>
      </c>
      <c r="B472" s="4" t="s">
        <v>976</v>
      </c>
      <c r="C472" s="4" t="s">
        <v>1642</v>
      </c>
      <c r="D472" s="4">
        <v>10</v>
      </c>
      <c r="E472" s="6">
        <v>10</v>
      </c>
      <c r="F472" s="6">
        <v>3</v>
      </c>
      <c r="G472" s="6">
        <v>10</v>
      </c>
      <c r="H472" s="6">
        <v>30</v>
      </c>
      <c r="I472" s="6">
        <v>10</v>
      </c>
      <c r="J472" s="6">
        <v>30</v>
      </c>
      <c r="K472" s="6">
        <v>5</v>
      </c>
      <c r="L472" s="6">
        <v>8</v>
      </c>
      <c r="M472" s="6">
        <v>26</v>
      </c>
      <c r="N472" s="6">
        <v>16</v>
      </c>
      <c r="O472" s="6">
        <v>10</v>
      </c>
      <c r="P472" s="6">
        <v>-25</v>
      </c>
      <c r="Q472" s="6">
        <v>1</v>
      </c>
      <c r="R472" s="6">
        <v>20</v>
      </c>
      <c r="S472" s="6">
        <v>4</v>
      </c>
      <c r="T472" s="5"/>
      <c r="U472" s="6">
        <v>30</v>
      </c>
      <c r="V472" s="6">
        <v>11</v>
      </c>
      <c r="W472" s="5"/>
      <c r="X472" s="6">
        <v>5</v>
      </c>
      <c r="Y472" s="6">
        <v>24</v>
      </c>
      <c r="Z472" s="6">
        <v>3</v>
      </c>
      <c r="AA472" s="6">
        <v>22</v>
      </c>
      <c r="AB472" s="6">
        <v>11</v>
      </c>
      <c r="AC472" s="5"/>
      <c r="AD472" s="5"/>
      <c r="AE472" s="5"/>
      <c r="AF472" s="6">
        <v>39</v>
      </c>
      <c r="AG472" s="5"/>
      <c r="AH472" s="5"/>
      <c r="AI472" s="5"/>
      <c r="AJ472" s="6">
        <v>-10</v>
      </c>
      <c r="AK472" s="5"/>
      <c r="AL472" s="6">
        <v>293</v>
      </c>
    </row>
    <row r="473" spans="1:38" ht="11.1" customHeight="1" x14ac:dyDescent="0.2">
      <c r="A473" s="4" t="s">
        <v>977</v>
      </c>
      <c r="B473" s="4" t="s">
        <v>978</v>
      </c>
      <c r="C473" s="4" t="s">
        <v>1643</v>
      </c>
      <c r="D473" s="4">
        <v>10</v>
      </c>
      <c r="E473" s="6">
        <v>53</v>
      </c>
      <c r="F473" s="6">
        <v>40</v>
      </c>
      <c r="G473" s="6">
        <v>5</v>
      </c>
      <c r="H473" s="6">
        <v>94</v>
      </c>
      <c r="I473" s="6">
        <v>61</v>
      </c>
      <c r="J473" s="6">
        <v>17</v>
      </c>
      <c r="K473" s="6">
        <v>12</v>
      </c>
      <c r="L473" s="6">
        <v>27</v>
      </c>
      <c r="M473" s="6">
        <v>8</v>
      </c>
      <c r="N473" s="6">
        <v>26</v>
      </c>
      <c r="O473" s="6">
        <v>28</v>
      </c>
      <c r="P473" s="6">
        <v>-12</v>
      </c>
      <c r="Q473" s="6">
        <v>23</v>
      </c>
      <c r="R473" s="6">
        <v>27</v>
      </c>
      <c r="S473" s="6">
        <v>39</v>
      </c>
      <c r="T473" s="6">
        <v>5</v>
      </c>
      <c r="U473" s="6">
        <v>57</v>
      </c>
      <c r="V473" s="6">
        <v>11</v>
      </c>
      <c r="W473" s="6">
        <v>7</v>
      </c>
      <c r="X473" s="6">
        <v>13</v>
      </c>
      <c r="Y473" s="6">
        <v>39</v>
      </c>
      <c r="Z473" s="6">
        <v>11</v>
      </c>
      <c r="AA473" s="6">
        <v>13</v>
      </c>
      <c r="AB473" s="6">
        <v>46</v>
      </c>
      <c r="AC473" s="6">
        <v>10</v>
      </c>
      <c r="AD473" s="6">
        <v>1</v>
      </c>
      <c r="AE473" s="6">
        <v>4</v>
      </c>
      <c r="AF473" s="6">
        <v>9</v>
      </c>
      <c r="AG473" s="6">
        <v>5</v>
      </c>
      <c r="AH473" s="6">
        <v>4</v>
      </c>
      <c r="AI473" s="6">
        <v>21</v>
      </c>
      <c r="AJ473" s="6">
        <v>9</v>
      </c>
      <c r="AK473" s="6">
        <v>2</v>
      </c>
      <c r="AL473" s="6">
        <v>715</v>
      </c>
    </row>
    <row r="474" spans="1:38" ht="11.1" customHeight="1" x14ac:dyDescent="0.2">
      <c r="A474" s="4" t="s">
        <v>979</v>
      </c>
      <c r="B474" s="4" t="s">
        <v>980</v>
      </c>
      <c r="C474" s="4" t="s">
        <v>1644</v>
      </c>
      <c r="D474" s="4">
        <v>10</v>
      </c>
      <c r="E474" s="6">
        <v>5</v>
      </c>
      <c r="F474" s="6">
        <v>1</v>
      </c>
      <c r="G474" s="6">
        <v>9</v>
      </c>
      <c r="H474" s="6">
        <v>42</v>
      </c>
      <c r="I474" s="5"/>
      <c r="J474" s="6">
        <v>4</v>
      </c>
      <c r="K474" s="6">
        <v>3</v>
      </c>
      <c r="L474" s="6">
        <v>2</v>
      </c>
      <c r="M474" s="6">
        <v>13</v>
      </c>
      <c r="N474" s="6">
        <v>18</v>
      </c>
      <c r="O474" s="6">
        <v>6</v>
      </c>
      <c r="P474" s="6">
        <v>-15</v>
      </c>
      <c r="Q474" s="5"/>
      <c r="R474" s="5"/>
      <c r="S474" s="6">
        <v>4</v>
      </c>
      <c r="T474" s="5"/>
      <c r="U474" s="6">
        <v>40</v>
      </c>
      <c r="V474" s="5"/>
      <c r="W474" s="5"/>
      <c r="X474" s="5"/>
      <c r="Y474" s="6">
        <v>10</v>
      </c>
      <c r="Z474" s="5"/>
      <c r="AA474" s="6">
        <v>3</v>
      </c>
      <c r="AB474" s="5"/>
      <c r="AC474" s="5"/>
      <c r="AD474" s="5"/>
      <c r="AE474" s="5"/>
      <c r="AF474" s="6">
        <v>10</v>
      </c>
      <c r="AG474" s="5"/>
      <c r="AH474" s="5"/>
      <c r="AI474" s="5"/>
      <c r="AJ474" s="6">
        <v>-8</v>
      </c>
      <c r="AK474" s="5"/>
      <c r="AL474" s="6">
        <v>147</v>
      </c>
    </row>
    <row r="475" spans="1:38" ht="11.1" customHeight="1" x14ac:dyDescent="0.2">
      <c r="A475" s="4" t="s">
        <v>981</v>
      </c>
      <c r="B475" s="4" t="s">
        <v>982</v>
      </c>
      <c r="C475" s="4" t="s">
        <v>1645</v>
      </c>
      <c r="D475" s="4">
        <v>10</v>
      </c>
      <c r="E475" s="6">
        <v>11</v>
      </c>
      <c r="F475" s="6">
        <v>2</v>
      </c>
      <c r="G475" s="6">
        <v>1</v>
      </c>
      <c r="H475" s="6">
        <v>7</v>
      </c>
      <c r="I475" s="6">
        <v>19</v>
      </c>
      <c r="J475" s="6">
        <v>1</v>
      </c>
      <c r="K475" s="6">
        <v>1</v>
      </c>
      <c r="L475" s="6">
        <v>4</v>
      </c>
      <c r="M475" s="6">
        <v>12</v>
      </c>
      <c r="N475" s="6">
        <v>13</v>
      </c>
      <c r="O475" s="6">
        <v>2</v>
      </c>
      <c r="P475" s="6">
        <v>-5</v>
      </c>
      <c r="Q475" s="5"/>
      <c r="R475" s="6">
        <v>15</v>
      </c>
      <c r="S475" s="5"/>
      <c r="T475" s="6">
        <v>1</v>
      </c>
      <c r="U475" s="6">
        <v>18</v>
      </c>
      <c r="V475" s="6">
        <v>-1</v>
      </c>
      <c r="W475" s="6">
        <v>17</v>
      </c>
      <c r="X475" s="6">
        <v>3</v>
      </c>
      <c r="Y475" s="6">
        <v>11</v>
      </c>
      <c r="Z475" s="6">
        <v>2</v>
      </c>
      <c r="AA475" s="6">
        <v>3</v>
      </c>
      <c r="AB475" s="5"/>
      <c r="AC475" s="5"/>
      <c r="AD475" s="5"/>
      <c r="AE475" s="5"/>
      <c r="AF475" s="6">
        <v>1</v>
      </c>
      <c r="AG475" s="5"/>
      <c r="AH475" s="6">
        <v>4</v>
      </c>
      <c r="AI475" s="5"/>
      <c r="AJ475" s="6">
        <v>-8</v>
      </c>
      <c r="AK475" s="5"/>
      <c r="AL475" s="6">
        <v>134</v>
      </c>
    </row>
    <row r="476" spans="1:38" ht="23.1" customHeight="1" x14ac:dyDescent="0.2">
      <c r="A476" s="4" t="s">
        <v>983</v>
      </c>
      <c r="B476" s="4" t="s">
        <v>984</v>
      </c>
      <c r="C476" s="4" t="s">
        <v>1183</v>
      </c>
      <c r="D476" s="4">
        <v>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6">
        <v>2</v>
      </c>
      <c r="AD476" s="5"/>
      <c r="AE476" s="5"/>
      <c r="AF476" s="5"/>
      <c r="AG476" s="5"/>
      <c r="AH476" s="5"/>
      <c r="AI476" s="5"/>
      <c r="AJ476" s="5"/>
      <c r="AK476" s="5"/>
      <c r="AL476" s="6">
        <v>2</v>
      </c>
    </row>
    <row r="477" spans="1:38" ht="11.1" customHeight="1" x14ac:dyDescent="0.2">
      <c r="A477" s="4" t="s">
        <v>985</v>
      </c>
      <c r="B477" s="4" t="s">
        <v>986</v>
      </c>
      <c r="C477" s="4" t="s">
        <v>1646</v>
      </c>
      <c r="D477" s="4">
        <v>5</v>
      </c>
      <c r="E477" s="6">
        <v>4</v>
      </c>
      <c r="F477" s="6">
        <v>17</v>
      </c>
      <c r="G477" s="6">
        <v>29</v>
      </c>
      <c r="H477" s="6">
        <v>31</v>
      </c>
      <c r="I477" s="6">
        <v>39</v>
      </c>
      <c r="J477" s="6">
        <v>24</v>
      </c>
      <c r="K477" s="6">
        <v>37</v>
      </c>
      <c r="L477" s="6">
        <v>9</v>
      </c>
      <c r="M477" s="6">
        <v>10</v>
      </c>
      <c r="N477" s="6">
        <v>24</v>
      </c>
      <c r="O477" s="6">
        <v>33</v>
      </c>
      <c r="P477" s="6">
        <v>12</v>
      </c>
      <c r="Q477" s="6">
        <v>15</v>
      </c>
      <c r="R477" s="6">
        <v>51</v>
      </c>
      <c r="S477" s="6">
        <v>30</v>
      </c>
      <c r="T477" s="6">
        <v>6</v>
      </c>
      <c r="U477" s="6">
        <v>23</v>
      </c>
      <c r="V477" s="6">
        <v>-1</v>
      </c>
      <c r="W477" s="6">
        <v>3</v>
      </c>
      <c r="X477" s="6">
        <v>-11</v>
      </c>
      <c r="Y477" s="6">
        <v>30</v>
      </c>
      <c r="Z477" s="6">
        <v>7</v>
      </c>
      <c r="AA477" s="6">
        <v>4</v>
      </c>
      <c r="AB477" s="6">
        <v>22</v>
      </c>
      <c r="AC477" s="6">
        <v>2</v>
      </c>
      <c r="AD477" s="6">
        <v>1</v>
      </c>
      <c r="AE477" s="6">
        <v>1</v>
      </c>
      <c r="AF477" s="6">
        <v>26</v>
      </c>
      <c r="AG477" s="6">
        <v>1</v>
      </c>
      <c r="AH477" s="6">
        <v>4</v>
      </c>
      <c r="AI477" s="6">
        <v>1</v>
      </c>
      <c r="AJ477" s="6">
        <v>1</v>
      </c>
      <c r="AK477" s="5"/>
      <c r="AL477" s="6">
        <v>485</v>
      </c>
    </row>
    <row r="478" spans="1:38" ht="11.1" customHeight="1" x14ac:dyDescent="0.2">
      <c r="A478" s="4" t="s">
        <v>987</v>
      </c>
      <c r="B478" s="4" t="s">
        <v>988</v>
      </c>
      <c r="C478" s="4" t="s">
        <v>1647</v>
      </c>
      <c r="D478" s="4">
        <v>10</v>
      </c>
      <c r="E478" s="6">
        <v>10</v>
      </c>
      <c r="F478" s="6">
        <v>14</v>
      </c>
      <c r="G478" s="6">
        <v>10</v>
      </c>
      <c r="H478" s="6">
        <v>42</v>
      </c>
      <c r="I478" s="6">
        <v>34</v>
      </c>
      <c r="J478" s="6">
        <v>12</v>
      </c>
      <c r="K478" s="6">
        <v>20</v>
      </c>
      <c r="L478" s="6">
        <v>21</v>
      </c>
      <c r="M478" s="6">
        <v>47</v>
      </c>
      <c r="N478" s="6">
        <v>27</v>
      </c>
      <c r="O478" s="6">
        <v>18</v>
      </c>
      <c r="P478" s="6">
        <v>-12</v>
      </c>
      <c r="Q478" s="6">
        <v>12</v>
      </c>
      <c r="R478" s="6">
        <v>9</v>
      </c>
      <c r="S478" s="5"/>
      <c r="T478" s="6">
        <v>18</v>
      </c>
      <c r="U478" s="6">
        <v>26</v>
      </c>
      <c r="V478" s="6">
        <v>3</v>
      </c>
      <c r="W478" s="6">
        <v>20</v>
      </c>
      <c r="X478" s="6">
        <v>7</v>
      </c>
      <c r="Y478" s="6">
        <v>10</v>
      </c>
      <c r="Z478" s="5"/>
      <c r="AA478" s="6">
        <v>6</v>
      </c>
      <c r="AB478" s="6">
        <v>18</v>
      </c>
      <c r="AC478" s="6">
        <v>10</v>
      </c>
      <c r="AD478" s="6">
        <v>10</v>
      </c>
      <c r="AE478" s="6">
        <v>16</v>
      </c>
      <c r="AF478" s="5"/>
      <c r="AG478" s="6">
        <v>13</v>
      </c>
      <c r="AH478" s="6">
        <v>4</v>
      </c>
      <c r="AI478" s="6">
        <v>5</v>
      </c>
      <c r="AJ478" s="6">
        <v>13</v>
      </c>
      <c r="AK478" s="5"/>
      <c r="AL478" s="6">
        <v>443</v>
      </c>
    </row>
    <row r="479" spans="1:38" ht="11.1" customHeight="1" x14ac:dyDescent="0.2">
      <c r="A479" s="4" t="s">
        <v>989</v>
      </c>
      <c r="B479" s="4" t="s">
        <v>990</v>
      </c>
      <c r="C479" s="4" t="s">
        <v>1648</v>
      </c>
      <c r="D479" s="4">
        <v>10</v>
      </c>
      <c r="E479" s="6">
        <v>5</v>
      </c>
      <c r="F479" s="5"/>
      <c r="G479" s="5"/>
      <c r="H479" s="5"/>
      <c r="I479" s="5"/>
      <c r="J479" s="6">
        <v>2</v>
      </c>
      <c r="K479" s="6">
        <v>7</v>
      </c>
      <c r="L479" s="5"/>
      <c r="M479" s="5"/>
      <c r="N479" s="5"/>
      <c r="O479" s="5"/>
      <c r="P479" s="6">
        <v>-5</v>
      </c>
      <c r="Q479" s="6">
        <v>1</v>
      </c>
      <c r="R479" s="5"/>
      <c r="S479" s="5"/>
      <c r="T479" s="5"/>
      <c r="U479" s="5"/>
      <c r="V479" s="5"/>
      <c r="W479" s="5"/>
      <c r="X479" s="5"/>
      <c r="Y479" s="6">
        <v>17</v>
      </c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6">
        <v>27</v>
      </c>
    </row>
    <row r="480" spans="1:38" ht="11.1" customHeight="1" x14ac:dyDescent="0.2">
      <c r="A480" s="4" t="s">
        <v>991</v>
      </c>
      <c r="B480" s="4" t="s">
        <v>992</v>
      </c>
      <c r="C480" s="4" t="s">
        <v>1649</v>
      </c>
      <c r="D480" s="4">
        <v>5</v>
      </c>
      <c r="E480" s="6">
        <v>7</v>
      </c>
      <c r="F480" s="5"/>
      <c r="G480" s="6">
        <v>9</v>
      </c>
      <c r="H480" s="5"/>
      <c r="I480" s="5"/>
      <c r="J480" s="5"/>
      <c r="K480" s="6">
        <v>4</v>
      </c>
      <c r="L480" s="5"/>
      <c r="M480" s="6">
        <v>11</v>
      </c>
      <c r="N480" s="6">
        <v>3</v>
      </c>
      <c r="O480" s="5"/>
      <c r="P480" s="6">
        <v>-11</v>
      </c>
      <c r="Q480" s="5"/>
      <c r="R480" s="5"/>
      <c r="S480" s="6">
        <v>2</v>
      </c>
      <c r="T480" s="5"/>
      <c r="U480" s="6">
        <v>1</v>
      </c>
      <c r="V480" s="5"/>
      <c r="W480" s="6">
        <v>5</v>
      </c>
      <c r="X480" s="5"/>
      <c r="Y480" s="6">
        <v>6</v>
      </c>
      <c r="Z480" s="5"/>
      <c r="AA480" s="5"/>
      <c r="AB480" s="5"/>
      <c r="AC480" s="5"/>
      <c r="AD480" s="5"/>
      <c r="AE480" s="6">
        <v>1</v>
      </c>
      <c r="AF480" s="5"/>
      <c r="AG480" s="5"/>
      <c r="AH480" s="6">
        <v>1</v>
      </c>
      <c r="AI480" s="5"/>
      <c r="AJ480" s="6">
        <v>-7</v>
      </c>
      <c r="AK480" s="5"/>
      <c r="AL480" s="6">
        <v>32</v>
      </c>
    </row>
    <row r="481" spans="1:38" ht="11.1" customHeight="1" x14ac:dyDescent="0.2">
      <c r="A481" s="4" t="s">
        <v>993</v>
      </c>
      <c r="B481" s="4" t="s">
        <v>994</v>
      </c>
      <c r="C481" s="4" t="s">
        <v>1650</v>
      </c>
      <c r="D481" s="4">
        <v>5</v>
      </c>
      <c r="E481" s="5"/>
      <c r="F481" s="5"/>
      <c r="G481" s="5"/>
      <c r="H481" s="5"/>
      <c r="I481" s="5"/>
      <c r="J481" s="5"/>
      <c r="K481" s="6">
        <v>1</v>
      </c>
      <c r="L481" s="6">
        <v>11</v>
      </c>
      <c r="M481" s="5"/>
      <c r="N481" s="5"/>
      <c r="O481" s="5"/>
      <c r="P481" s="5"/>
      <c r="Q481" s="5"/>
      <c r="R481" s="5"/>
      <c r="S481" s="6">
        <v>2</v>
      </c>
      <c r="T481" s="6">
        <v>1</v>
      </c>
      <c r="U481" s="5"/>
      <c r="V481" s="5"/>
      <c r="W481" s="6">
        <v>1</v>
      </c>
      <c r="X481" s="5"/>
      <c r="Y481" s="6">
        <v>2</v>
      </c>
      <c r="Z481" s="5"/>
      <c r="AA481" s="6">
        <v>2</v>
      </c>
      <c r="AB481" s="5"/>
      <c r="AC481" s="5"/>
      <c r="AD481" s="5"/>
      <c r="AE481" s="6">
        <v>1</v>
      </c>
      <c r="AF481" s="5"/>
      <c r="AG481" s="5"/>
      <c r="AH481" s="6">
        <v>1</v>
      </c>
      <c r="AI481" s="5"/>
      <c r="AJ481" s="6">
        <v>2</v>
      </c>
      <c r="AK481" s="5"/>
      <c r="AL481" s="6">
        <v>24</v>
      </c>
    </row>
    <row r="482" spans="1:38" ht="11.1" customHeight="1" x14ac:dyDescent="0.2">
      <c r="A482" s="4" t="s">
        <v>995</v>
      </c>
      <c r="B482" s="4" t="s">
        <v>996</v>
      </c>
      <c r="C482" s="4" t="s">
        <v>1651</v>
      </c>
      <c r="D482" s="4">
        <v>6</v>
      </c>
      <c r="E482" s="6">
        <v>19</v>
      </c>
      <c r="F482" s="6">
        <v>159</v>
      </c>
      <c r="G482" s="6">
        <v>52</v>
      </c>
      <c r="H482" s="6">
        <v>12</v>
      </c>
      <c r="I482" s="6">
        <v>44</v>
      </c>
      <c r="J482" s="6">
        <v>94</v>
      </c>
      <c r="K482" s="6">
        <v>140</v>
      </c>
      <c r="L482" s="6">
        <v>40</v>
      </c>
      <c r="M482" s="6">
        <v>75</v>
      </c>
      <c r="N482" s="6">
        <v>75</v>
      </c>
      <c r="O482" s="6">
        <v>72</v>
      </c>
      <c r="P482" s="6">
        <v>33</v>
      </c>
      <c r="Q482" s="6">
        <v>26</v>
      </c>
      <c r="R482" s="6">
        <v>61</v>
      </c>
      <c r="S482" s="6">
        <v>23</v>
      </c>
      <c r="T482" s="6">
        <v>62</v>
      </c>
      <c r="U482" s="6">
        <v>201</v>
      </c>
      <c r="V482" s="6">
        <v>68</v>
      </c>
      <c r="W482" s="6">
        <v>72</v>
      </c>
      <c r="X482" s="6">
        <v>36</v>
      </c>
      <c r="Y482" s="6">
        <v>23</v>
      </c>
      <c r="Z482" s="6">
        <v>128</v>
      </c>
      <c r="AA482" s="6">
        <v>45</v>
      </c>
      <c r="AB482" s="6">
        <v>75</v>
      </c>
      <c r="AC482" s="6">
        <v>62</v>
      </c>
      <c r="AD482" s="6">
        <v>38</v>
      </c>
      <c r="AE482" s="6">
        <v>71</v>
      </c>
      <c r="AF482" s="6">
        <v>32</v>
      </c>
      <c r="AG482" s="6">
        <v>24</v>
      </c>
      <c r="AH482" s="6">
        <v>40</v>
      </c>
      <c r="AI482" s="6">
        <v>5</v>
      </c>
      <c r="AJ482" s="5"/>
      <c r="AK482" s="6">
        <v>22</v>
      </c>
      <c r="AL482" s="7">
        <v>1929</v>
      </c>
    </row>
    <row r="483" spans="1:38" ht="11.1" customHeight="1" x14ac:dyDescent="0.2">
      <c r="A483" s="4" t="s">
        <v>997</v>
      </c>
      <c r="B483" s="4" t="s">
        <v>998</v>
      </c>
      <c r="C483" s="4" t="s">
        <v>1652</v>
      </c>
      <c r="D483" s="4">
        <v>6</v>
      </c>
      <c r="E483" s="6">
        <v>5</v>
      </c>
      <c r="F483" s="6">
        <v>67</v>
      </c>
      <c r="G483" s="6">
        <v>12</v>
      </c>
      <c r="H483" s="6">
        <v>11</v>
      </c>
      <c r="I483" s="6">
        <v>34</v>
      </c>
      <c r="J483" s="6">
        <v>18</v>
      </c>
      <c r="K483" s="6">
        <v>5</v>
      </c>
      <c r="L483" s="6">
        <v>24</v>
      </c>
      <c r="M483" s="6">
        <v>9</v>
      </c>
      <c r="N483" s="6">
        <v>101</v>
      </c>
      <c r="O483" s="6">
        <v>57</v>
      </c>
      <c r="P483" s="6">
        <v>5</v>
      </c>
      <c r="Q483" s="6">
        <v>14</v>
      </c>
      <c r="R483" s="6">
        <v>14</v>
      </c>
      <c r="S483" s="6">
        <v>42</v>
      </c>
      <c r="T483" s="6">
        <v>61</v>
      </c>
      <c r="U483" s="6">
        <v>22</v>
      </c>
      <c r="V483" s="6">
        <v>10</v>
      </c>
      <c r="W483" s="6">
        <v>4</v>
      </c>
      <c r="X483" s="6">
        <v>24</v>
      </c>
      <c r="Y483" s="6">
        <v>54</v>
      </c>
      <c r="Z483" s="5"/>
      <c r="AA483" s="6">
        <v>37</v>
      </c>
      <c r="AB483" s="6">
        <v>31</v>
      </c>
      <c r="AC483" s="6">
        <v>27</v>
      </c>
      <c r="AD483" s="5"/>
      <c r="AE483" s="6">
        <v>16</v>
      </c>
      <c r="AF483" s="6">
        <v>10</v>
      </c>
      <c r="AG483" s="6">
        <v>6</v>
      </c>
      <c r="AH483" s="6">
        <v>22</v>
      </c>
      <c r="AI483" s="6">
        <v>17</v>
      </c>
      <c r="AJ483" s="6">
        <v>4</v>
      </c>
      <c r="AK483" s="6">
        <v>12</v>
      </c>
      <c r="AL483" s="6">
        <v>775</v>
      </c>
    </row>
    <row r="484" spans="1:38" ht="11.1" customHeight="1" x14ac:dyDescent="0.2">
      <c r="A484" s="4" t="s">
        <v>999</v>
      </c>
      <c r="B484" s="4" t="s">
        <v>1000</v>
      </c>
      <c r="C484" s="4" t="s">
        <v>1653</v>
      </c>
      <c r="D484" s="4">
        <v>6</v>
      </c>
      <c r="E484" s="6">
        <v>6</v>
      </c>
      <c r="F484" s="5"/>
      <c r="G484" s="5"/>
      <c r="H484" s="5"/>
      <c r="I484" s="6">
        <v>1</v>
      </c>
      <c r="J484" s="5"/>
      <c r="K484" s="6">
        <v>1</v>
      </c>
      <c r="L484" s="5"/>
      <c r="M484" s="5"/>
      <c r="N484" s="5"/>
      <c r="O484" s="6">
        <v>2</v>
      </c>
      <c r="P484" s="6">
        <v>-2</v>
      </c>
      <c r="Q484" s="5"/>
      <c r="R484" s="5"/>
      <c r="S484" s="5"/>
      <c r="T484" s="5"/>
      <c r="U484" s="5"/>
      <c r="V484" s="5"/>
      <c r="W484" s="6">
        <v>5</v>
      </c>
      <c r="X484" s="5"/>
      <c r="Y484" s="6">
        <v>2</v>
      </c>
      <c r="Z484" s="6">
        <v>2</v>
      </c>
      <c r="AA484" s="5"/>
      <c r="AB484" s="5"/>
      <c r="AC484" s="5"/>
      <c r="AD484" s="5"/>
      <c r="AE484" s="5"/>
      <c r="AF484" s="6">
        <v>6</v>
      </c>
      <c r="AG484" s="5"/>
      <c r="AH484" s="6">
        <v>1</v>
      </c>
      <c r="AI484" s="6">
        <v>-2</v>
      </c>
      <c r="AJ484" s="5"/>
      <c r="AK484" s="5"/>
      <c r="AL484" s="6">
        <v>22</v>
      </c>
    </row>
    <row r="485" spans="1:38" ht="11.1" customHeight="1" x14ac:dyDescent="0.2">
      <c r="A485" s="4" t="s">
        <v>1001</v>
      </c>
      <c r="B485" s="4" t="s">
        <v>1002</v>
      </c>
      <c r="C485" s="4" t="s">
        <v>1654</v>
      </c>
      <c r="D485" s="4">
        <v>5</v>
      </c>
      <c r="E485" s="6">
        <v>6</v>
      </c>
      <c r="F485" s="6">
        <v>6</v>
      </c>
      <c r="G485" s="5"/>
      <c r="H485" s="5"/>
      <c r="I485" s="6">
        <v>11</v>
      </c>
      <c r="J485" s="5"/>
      <c r="K485" s="6">
        <v>12</v>
      </c>
      <c r="L485" s="6">
        <v>7</v>
      </c>
      <c r="M485" s="6">
        <v>13</v>
      </c>
      <c r="N485" s="6">
        <v>6</v>
      </c>
      <c r="O485" s="6">
        <v>5</v>
      </c>
      <c r="P485" s="6">
        <v>5</v>
      </c>
      <c r="Q485" s="5"/>
      <c r="R485" s="6">
        <v>8</v>
      </c>
      <c r="S485" s="5"/>
      <c r="T485" s="5"/>
      <c r="U485" s="6">
        <v>10</v>
      </c>
      <c r="V485" s="6">
        <v>48</v>
      </c>
      <c r="W485" s="5"/>
      <c r="X485" s="5"/>
      <c r="Y485" s="6">
        <v>1</v>
      </c>
      <c r="Z485" s="6">
        <v>25</v>
      </c>
      <c r="AA485" s="6">
        <v>16</v>
      </c>
      <c r="AB485" s="6">
        <v>9</v>
      </c>
      <c r="AC485" s="6">
        <v>3</v>
      </c>
      <c r="AD485" s="5"/>
      <c r="AE485" s="6">
        <v>1</v>
      </c>
      <c r="AF485" s="5"/>
      <c r="AG485" s="6">
        <v>2</v>
      </c>
      <c r="AH485" s="6">
        <v>14</v>
      </c>
      <c r="AI485" s="5"/>
      <c r="AJ485" s="6">
        <v>-14</v>
      </c>
      <c r="AK485" s="5"/>
      <c r="AL485" s="6">
        <v>194</v>
      </c>
    </row>
    <row r="486" spans="1:38" ht="11.1" customHeight="1" x14ac:dyDescent="0.2">
      <c r="A486" s="4" t="s">
        <v>1003</v>
      </c>
      <c r="B486" s="4" t="s">
        <v>1004</v>
      </c>
      <c r="C486" s="4" t="s">
        <v>1655</v>
      </c>
      <c r="D486" s="4">
        <v>10</v>
      </c>
      <c r="E486" s="6">
        <v>36</v>
      </c>
      <c r="F486" s="5"/>
      <c r="G486" s="6">
        <v>1</v>
      </c>
      <c r="H486" s="6">
        <v>34</v>
      </c>
      <c r="I486" s="6">
        <v>182</v>
      </c>
      <c r="J486" s="6">
        <v>18</v>
      </c>
      <c r="K486" s="6">
        <v>63</v>
      </c>
      <c r="L486" s="6">
        <v>52</v>
      </c>
      <c r="M486" s="6">
        <v>12</v>
      </c>
      <c r="N486" s="6">
        <v>106</v>
      </c>
      <c r="O486" s="6">
        <v>94</v>
      </c>
      <c r="P486" s="6">
        <v>53</v>
      </c>
      <c r="Q486" s="6">
        <v>4</v>
      </c>
      <c r="R486" s="5"/>
      <c r="S486" s="6">
        <v>81</v>
      </c>
      <c r="T486" s="6">
        <v>44</v>
      </c>
      <c r="U486" s="6">
        <v>14</v>
      </c>
      <c r="V486" s="6">
        <v>39</v>
      </c>
      <c r="W486" s="6">
        <v>1</v>
      </c>
      <c r="X486" s="6">
        <v>1</v>
      </c>
      <c r="Y486" s="6">
        <v>81</v>
      </c>
      <c r="Z486" s="6">
        <v>9</v>
      </c>
      <c r="AA486" s="6">
        <v>1</v>
      </c>
      <c r="AB486" s="6">
        <v>10</v>
      </c>
      <c r="AC486" s="6">
        <v>55</v>
      </c>
      <c r="AD486" s="6">
        <v>8</v>
      </c>
      <c r="AE486" s="6">
        <v>25</v>
      </c>
      <c r="AF486" s="5"/>
      <c r="AG486" s="6">
        <v>20</v>
      </c>
      <c r="AH486" s="6">
        <v>8</v>
      </c>
      <c r="AI486" s="6">
        <v>31</v>
      </c>
      <c r="AJ486" s="5"/>
      <c r="AK486" s="6">
        <v>7</v>
      </c>
      <c r="AL486" s="7">
        <v>1090</v>
      </c>
    </row>
    <row r="487" spans="1:38" ht="11.1" customHeight="1" x14ac:dyDescent="0.2">
      <c r="A487" s="4" t="s">
        <v>1005</v>
      </c>
      <c r="B487" s="4" t="s">
        <v>1006</v>
      </c>
      <c r="C487" s="4" t="s">
        <v>1656</v>
      </c>
      <c r="D487" s="4">
        <v>10</v>
      </c>
      <c r="E487" s="6">
        <v>40</v>
      </c>
      <c r="F487" s="6">
        <v>5</v>
      </c>
      <c r="G487" s="6">
        <v>70</v>
      </c>
      <c r="H487" s="6">
        <v>70</v>
      </c>
      <c r="I487" s="6">
        <v>20</v>
      </c>
      <c r="J487" s="6">
        <v>38</v>
      </c>
      <c r="K487" s="6">
        <v>62</v>
      </c>
      <c r="L487" s="6">
        <v>79</v>
      </c>
      <c r="M487" s="6">
        <v>58</v>
      </c>
      <c r="N487" s="6">
        <v>16</v>
      </c>
      <c r="O487" s="6">
        <v>71</v>
      </c>
      <c r="P487" s="6">
        <v>36</v>
      </c>
      <c r="Q487" s="6">
        <v>10</v>
      </c>
      <c r="R487" s="6">
        <v>60</v>
      </c>
      <c r="S487" s="6">
        <v>50</v>
      </c>
      <c r="T487" s="6">
        <v>41</v>
      </c>
      <c r="U487" s="6">
        <v>110</v>
      </c>
      <c r="V487" s="6">
        <v>133</v>
      </c>
      <c r="W487" s="6">
        <v>-25</v>
      </c>
      <c r="X487" s="6">
        <v>34</v>
      </c>
      <c r="Y487" s="6">
        <v>15</v>
      </c>
      <c r="Z487" s="6">
        <v>100</v>
      </c>
      <c r="AA487" s="6">
        <v>48</v>
      </c>
      <c r="AB487" s="6">
        <v>27</v>
      </c>
      <c r="AC487" s="6">
        <v>12</v>
      </c>
      <c r="AD487" s="6">
        <v>3</v>
      </c>
      <c r="AE487" s="5"/>
      <c r="AF487" s="6">
        <v>25</v>
      </c>
      <c r="AG487" s="6">
        <v>64</v>
      </c>
      <c r="AH487" s="6">
        <v>42</v>
      </c>
      <c r="AI487" s="5"/>
      <c r="AJ487" s="6">
        <v>95</v>
      </c>
      <c r="AK487" s="6">
        <v>10</v>
      </c>
      <c r="AL487" s="7">
        <v>1419</v>
      </c>
    </row>
    <row r="488" spans="1:38" ht="11.1" customHeight="1" x14ac:dyDescent="0.2">
      <c r="A488" s="4" t="s">
        <v>1007</v>
      </c>
      <c r="B488" s="4" t="s">
        <v>1008</v>
      </c>
      <c r="C488" s="4" t="s">
        <v>1657</v>
      </c>
      <c r="D488" s="4">
        <v>10</v>
      </c>
      <c r="E488" s="5"/>
      <c r="F488" s="6">
        <v>2</v>
      </c>
      <c r="G488" s="6">
        <v>12</v>
      </c>
      <c r="H488" s="5"/>
      <c r="I488" s="6">
        <v>25</v>
      </c>
      <c r="J488" s="6">
        <v>7</v>
      </c>
      <c r="K488" s="5"/>
      <c r="L488" s="6">
        <v>2</v>
      </c>
      <c r="M488" s="5"/>
      <c r="N488" s="6">
        <v>2</v>
      </c>
      <c r="O488" s="6">
        <v>1</v>
      </c>
      <c r="P488" s="6">
        <v>-2</v>
      </c>
      <c r="Q488" s="5"/>
      <c r="R488" s="5"/>
      <c r="S488" s="6">
        <v>7</v>
      </c>
      <c r="T488" s="5"/>
      <c r="U488" s="6">
        <v>8</v>
      </c>
      <c r="V488" s="6">
        <v>-3</v>
      </c>
      <c r="W488" s="5"/>
      <c r="X488" s="6">
        <v>1</v>
      </c>
      <c r="Y488" s="6">
        <v>4</v>
      </c>
      <c r="Z488" s="5"/>
      <c r="AA488" s="6">
        <v>1</v>
      </c>
      <c r="AB488" s="5"/>
      <c r="AC488" s="5"/>
      <c r="AD488" s="5"/>
      <c r="AE488" s="5"/>
      <c r="AF488" s="6">
        <v>50</v>
      </c>
      <c r="AG488" s="5"/>
      <c r="AH488" s="6">
        <v>2</v>
      </c>
      <c r="AI488" s="5"/>
      <c r="AJ488" s="6">
        <v>1</v>
      </c>
      <c r="AK488" s="5"/>
      <c r="AL488" s="6">
        <v>120</v>
      </c>
    </row>
    <row r="489" spans="1:38" ht="11.1" customHeight="1" x14ac:dyDescent="0.2">
      <c r="A489" s="4" t="s">
        <v>1009</v>
      </c>
      <c r="B489" s="4" t="s">
        <v>1010</v>
      </c>
      <c r="C489" s="4" t="s">
        <v>1658</v>
      </c>
      <c r="D489" s="4">
        <v>10</v>
      </c>
      <c r="E489" s="6">
        <v>5</v>
      </c>
      <c r="F489" s="6">
        <v>7</v>
      </c>
      <c r="G489" s="6">
        <v>8</v>
      </c>
      <c r="H489" s="5"/>
      <c r="I489" s="6">
        <v>20</v>
      </c>
      <c r="J489" s="6">
        <v>1</v>
      </c>
      <c r="K489" s="6">
        <v>1</v>
      </c>
      <c r="L489" s="5"/>
      <c r="M489" s="5"/>
      <c r="N489" s="5"/>
      <c r="O489" s="5"/>
      <c r="P489" s="6">
        <v>-11</v>
      </c>
      <c r="Q489" s="5"/>
      <c r="R489" s="5"/>
      <c r="S489" s="5"/>
      <c r="T489" s="6">
        <v>1</v>
      </c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6">
        <v>1</v>
      </c>
      <c r="AG489" s="5"/>
      <c r="AH489" s="5"/>
      <c r="AI489" s="5"/>
      <c r="AJ489" s="5"/>
      <c r="AK489" s="5"/>
      <c r="AL489" s="6">
        <v>33</v>
      </c>
    </row>
    <row r="490" spans="1:38" ht="11.1" customHeight="1" x14ac:dyDescent="0.2">
      <c r="A490" s="4" t="s">
        <v>1011</v>
      </c>
      <c r="B490" s="4" t="s">
        <v>1012</v>
      </c>
      <c r="C490" s="4" t="s">
        <v>1659</v>
      </c>
      <c r="D490" s="4">
        <v>20</v>
      </c>
      <c r="E490" s="6">
        <v>150</v>
      </c>
      <c r="F490" s="6">
        <v>150</v>
      </c>
      <c r="G490" s="6">
        <v>214</v>
      </c>
      <c r="H490" s="6">
        <v>151</v>
      </c>
      <c r="I490" s="6">
        <v>502</v>
      </c>
      <c r="J490" s="6">
        <v>335</v>
      </c>
      <c r="K490" s="6">
        <v>369</v>
      </c>
      <c r="L490" s="6">
        <v>362</v>
      </c>
      <c r="M490" s="6">
        <v>434</v>
      </c>
      <c r="N490" s="6">
        <v>276</v>
      </c>
      <c r="O490" s="6">
        <v>305</v>
      </c>
      <c r="P490" s="6">
        <v>306</v>
      </c>
      <c r="Q490" s="6">
        <v>200</v>
      </c>
      <c r="R490" s="6">
        <v>416</v>
      </c>
      <c r="S490" s="6">
        <v>170</v>
      </c>
      <c r="T490" s="6">
        <v>89</v>
      </c>
      <c r="U490" s="6">
        <v>538</v>
      </c>
      <c r="V490" s="6">
        <v>249</v>
      </c>
      <c r="W490" s="6">
        <v>214</v>
      </c>
      <c r="X490" s="6">
        <v>105</v>
      </c>
      <c r="Y490" s="6">
        <v>280</v>
      </c>
      <c r="Z490" s="6">
        <v>351</v>
      </c>
      <c r="AA490" s="6">
        <v>141</v>
      </c>
      <c r="AB490" s="6">
        <v>316</v>
      </c>
      <c r="AC490" s="6">
        <v>275</v>
      </c>
      <c r="AD490" s="6">
        <v>100</v>
      </c>
      <c r="AE490" s="6">
        <v>224</v>
      </c>
      <c r="AF490" s="6">
        <v>161</v>
      </c>
      <c r="AG490" s="6">
        <v>19</v>
      </c>
      <c r="AH490" s="6">
        <v>157</v>
      </c>
      <c r="AI490" s="6">
        <v>98</v>
      </c>
      <c r="AJ490" s="6">
        <v>18</v>
      </c>
      <c r="AK490" s="6">
        <v>33</v>
      </c>
      <c r="AL490" s="7">
        <v>7708</v>
      </c>
    </row>
    <row r="491" spans="1:38" ht="11.1" customHeight="1" x14ac:dyDescent="0.2">
      <c r="A491" s="4" t="s">
        <v>1013</v>
      </c>
      <c r="B491" s="4" t="s">
        <v>1014</v>
      </c>
      <c r="C491" s="4" t="s">
        <v>1660</v>
      </c>
      <c r="D491" s="4">
        <v>10</v>
      </c>
      <c r="E491" s="6">
        <v>111</v>
      </c>
      <c r="F491" s="6">
        <v>104</v>
      </c>
      <c r="G491" s="6">
        <v>6</v>
      </c>
      <c r="H491" s="6">
        <v>103</v>
      </c>
      <c r="I491" s="6">
        <v>167</v>
      </c>
      <c r="J491" s="6">
        <v>107</v>
      </c>
      <c r="K491" s="6">
        <v>118</v>
      </c>
      <c r="L491" s="6">
        <v>183</v>
      </c>
      <c r="M491" s="6">
        <v>83</v>
      </c>
      <c r="N491" s="6">
        <v>61</v>
      </c>
      <c r="O491" s="6">
        <v>196</v>
      </c>
      <c r="P491" s="6">
        <v>126</v>
      </c>
      <c r="Q491" s="6">
        <v>135</v>
      </c>
      <c r="R491" s="6">
        <v>76</v>
      </c>
      <c r="S491" s="6">
        <v>90</v>
      </c>
      <c r="T491" s="6">
        <v>29</v>
      </c>
      <c r="U491" s="6">
        <v>259</v>
      </c>
      <c r="V491" s="6">
        <v>90</v>
      </c>
      <c r="W491" s="6">
        <v>72</v>
      </c>
      <c r="X491" s="6">
        <v>36</v>
      </c>
      <c r="Y491" s="6">
        <v>186</v>
      </c>
      <c r="Z491" s="6">
        <v>32</v>
      </c>
      <c r="AA491" s="6">
        <v>64</v>
      </c>
      <c r="AB491" s="6">
        <v>31</v>
      </c>
      <c r="AC491" s="6">
        <v>52</v>
      </c>
      <c r="AD491" s="6">
        <v>20</v>
      </c>
      <c r="AE491" s="6">
        <v>66</v>
      </c>
      <c r="AF491" s="6">
        <v>53</v>
      </c>
      <c r="AG491" s="6">
        <v>43</v>
      </c>
      <c r="AH491" s="6">
        <v>61</v>
      </c>
      <c r="AI491" s="6">
        <v>36</v>
      </c>
      <c r="AJ491" s="6">
        <v>19</v>
      </c>
      <c r="AK491" s="6">
        <v>14</v>
      </c>
      <c r="AL491" s="7">
        <v>2829</v>
      </c>
    </row>
    <row r="492" spans="1:38" ht="11.1" customHeight="1" x14ac:dyDescent="0.2">
      <c r="A492" s="4" t="s">
        <v>1015</v>
      </c>
      <c r="B492" s="4" t="s">
        <v>1016</v>
      </c>
      <c r="C492" s="4" t="s">
        <v>1661</v>
      </c>
      <c r="D492" s="4">
        <v>5</v>
      </c>
      <c r="E492" s="6">
        <v>27</v>
      </c>
      <c r="F492" s="6">
        <v>67</v>
      </c>
      <c r="G492" s="6">
        <v>15</v>
      </c>
      <c r="H492" s="6">
        <v>51</v>
      </c>
      <c r="I492" s="6">
        <v>81</v>
      </c>
      <c r="J492" s="6">
        <v>40</v>
      </c>
      <c r="K492" s="6">
        <v>56</v>
      </c>
      <c r="L492" s="6">
        <v>27</v>
      </c>
      <c r="M492" s="6">
        <v>56</v>
      </c>
      <c r="N492" s="6">
        <v>34</v>
      </c>
      <c r="O492" s="6">
        <v>40</v>
      </c>
      <c r="P492" s="6">
        <v>38</v>
      </c>
      <c r="Q492" s="6">
        <v>28</v>
      </c>
      <c r="R492" s="6">
        <v>43</v>
      </c>
      <c r="S492" s="6">
        <v>90</v>
      </c>
      <c r="T492" s="6">
        <v>36</v>
      </c>
      <c r="U492" s="6">
        <v>39</v>
      </c>
      <c r="V492" s="6">
        <v>39</v>
      </c>
      <c r="W492" s="6">
        <v>32</v>
      </c>
      <c r="X492" s="6">
        <v>25</v>
      </c>
      <c r="Y492" s="6">
        <v>78</v>
      </c>
      <c r="Z492" s="6">
        <v>29</v>
      </c>
      <c r="AA492" s="6">
        <v>57</v>
      </c>
      <c r="AB492" s="6">
        <v>123</v>
      </c>
      <c r="AC492" s="6">
        <v>5</v>
      </c>
      <c r="AD492" s="6">
        <v>18</v>
      </c>
      <c r="AE492" s="6">
        <v>25</v>
      </c>
      <c r="AF492" s="6">
        <v>40</v>
      </c>
      <c r="AG492" s="6">
        <v>25</v>
      </c>
      <c r="AH492" s="6">
        <v>33</v>
      </c>
      <c r="AI492" s="6">
        <v>10</v>
      </c>
      <c r="AJ492" s="6">
        <v>12</v>
      </c>
      <c r="AK492" s="6">
        <v>4</v>
      </c>
      <c r="AL492" s="7">
        <v>1323</v>
      </c>
    </row>
    <row r="493" spans="1:38" ht="11.1" customHeight="1" x14ac:dyDescent="0.2">
      <c r="A493" s="4" t="s">
        <v>1017</v>
      </c>
      <c r="B493" s="4" t="s">
        <v>1018</v>
      </c>
      <c r="C493" s="4" t="s">
        <v>1662</v>
      </c>
      <c r="D493" s="4">
        <v>5</v>
      </c>
      <c r="E493" s="6">
        <v>20</v>
      </c>
      <c r="F493" s="6">
        <v>15</v>
      </c>
      <c r="G493" s="5"/>
      <c r="H493" s="6">
        <v>47</v>
      </c>
      <c r="I493" s="6">
        <v>36</v>
      </c>
      <c r="J493" s="6">
        <v>12</v>
      </c>
      <c r="K493" s="6">
        <v>32</v>
      </c>
      <c r="L493" s="6">
        <v>7</v>
      </c>
      <c r="M493" s="6">
        <v>33</v>
      </c>
      <c r="N493" s="6">
        <v>19</v>
      </c>
      <c r="O493" s="6">
        <v>5</v>
      </c>
      <c r="P493" s="6">
        <v>-9</v>
      </c>
      <c r="Q493" s="6">
        <v>20</v>
      </c>
      <c r="R493" s="6">
        <v>21</v>
      </c>
      <c r="S493" s="6">
        <v>15</v>
      </c>
      <c r="T493" s="6">
        <v>17</v>
      </c>
      <c r="U493" s="6">
        <v>27</v>
      </c>
      <c r="V493" s="6">
        <v>61</v>
      </c>
      <c r="W493" s="6">
        <v>15</v>
      </c>
      <c r="X493" s="6">
        <v>2</v>
      </c>
      <c r="Y493" s="6">
        <v>42</v>
      </c>
      <c r="Z493" s="6">
        <v>44</v>
      </c>
      <c r="AA493" s="6">
        <v>13</v>
      </c>
      <c r="AB493" s="6">
        <v>11</v>
      </c>
      <c r="AC493" s="6">
        <v>1</v>
      </c>
      <c r="AD493" s="6">
        <v>4</v>
      </c>
      <c r="AE493" s="6">
        <v>5</v>
      </c>
      <c r="AF493" s="6">
        <v>15</v>
      </c>
      <c r="AG493" s="6">
        <v>3</v>
      </c>
      <c r="AH493" s="6">
        <v>27</v>
      </c>
      <c r="AI493" s="6">
        <v>11</v>
      </c>
      <c r="AJ493" s="6">
        <v>-2</v>
      </c>
      <c r="AK493" s="6">
        <v>11</v>
      </c>
      <c r="AL493" s="6">
        <v>580</v>
      </c>
    </row>
    <row r="494" spans="1:38" ht="11.1" customHeight="1" x14ac:dyDescent="0.2">
      <c r="A494" s="4" t="s">
        <v>1019</v>
      </c>
      <c r="B494" s="4" t="s">
        <v>1020</v>
      </c>
      <c r="C494" s="4" t="s">
        <v>1663</v>
      </c>
      <c r="D494" s="4">
        <v>5</v>
      </c>
      <c r="E494" s="6">
        <v>5</v>
      </c>
      <c r="F494" s="6">
        <v>3</v>
      </c>
      <c r="G494" s="5"/>
      <c r="H494" s="6">
        <v>15</v>
      </c>
      <c r="I494" s="6">
        <v>12</v>
      </c>
      <c r="J494" s="6">
        <v>2</v>
      </c>
      <c r="K494" s="6">
        <v>3</v>
      </c>
      <c r="L494" s="6">
        <v>1</v>
      </c>
      <c r="M494" s="6">
        <v>12</v>
      </c>
      <c r="N494" s="6">
        <v>8</v>
      </c>
      <c r="O494" s="5"/>
      <c r="P494" s="6">
        <v>-14</v>
      </c>
      <c r="Q494" s="6">
        <v>4</v>
      </c>
      <c r="R494" s="6">
        <v>1</v>
      </c>
      <c r="S494" s="6">
        <v>1</v>
      </c>
      <c r="T494" s="6">
        <v>-30</v>
      </c>
      <c r="U494" s="6">
        <v>12</v>
      </c>
      <c r="V494" s="5"/>
      <c r="W494" s="6">
        <v>3</v>
      </c>
      <c r="X494" s="6">
        <v>3</v>
      </c>
      <c r="Y494" s="6">
        <v>7</v>
      </c>
      <c r="Z494" s="5"/>
      <c r="AA494" s="6">
        <v>1</v>
      </c>
      <c r="AB494" s="6">
        <v>1</v>
      </c>
      <c r="AC494" s="5"/>
      <c r="AD494" s="6">
        <v>9</v>
      </c>
      <c r="AE494" s="5"/>
      <c r="AF494" s="6">
        <v>1</v>
      </c>
      <c r="AG494" s="5"/>
      <c r="AH494" s="6">
        <v>3</v>
      </c>
      <c r="AI494" s="6">
        <v>1</v>
      </c>
      <c r="AJ494" s="6">
        <v>-7</v>
      </c>
      <c r="AK494" s="5"/>
      <c r="AL494" s="6">
        <v>57</v>
      </c>
    </row>
    <row r="495" spans="1:38" ht="11.1" customHeight="1" x14ac:dyDescent="0.2">
      <c r="A495" s="4" t="s">
        <v>1021</v>
      </c>
      <c r="B495" s="4" t="s">
        <v>1022</v>
      </c>
      <c r="C495" s="4" t="s">
        <v>1664</v>
      </c>
      <c r="D495" s="4">
        <v>10</v>
      </c>
      <c r="E495" s="5"/>
      <c r="F495" s="5"/>
      <c r="G495" s="6">
        <v>10</v>
      </c>
      <c r="H495" s="6">
        <v>11</v>
      </c>
      <c r="I495" s="6">
        <v>48</v>
      </c>
      <c r="J495" s="6">
        <v>16</v>
      </c>
      <c r="K495" s="6">
        <v>16</v>
      </c>
      <c r="L495" s="6">
        <v>2</v>
      </c>
      <c r="M495" s="6">
        <v>14</v>
      </c>
      <c r="N495" s="6">
        <v>5</v>
      </c>
      <c r="O495" s="6">
        <v>2</v>
      </c>
      <c r="P495" s="6">
        <v>-7</v>
      </c>
      <c r="Q495" s="6">
        <v>12</v>
      </c>
      <c r="R495" s="6">
        <v>30</v>
      </c>
      <c r="S495" s="6">
        <v>1</v>
      </c>
      <c r="T495" s="6">
        <v>8</v>
      </c>
      <c r="U495" s="6">
        <v>12</v>
      </c>
      <c r="V495" s="6">
        <v>20</v>
      </c>
      <c r="W495" s="6">
        <v>21</v>
      </c>
      <c r="X495" s="6">
        <v>4</v>
      </c>
      <c r="Y495" s="6">
        <v>29</v>
      </c>
      <c r="Z495" s="5"/>
      <c r="AA495" s="6">
        <v>10</v>
      </c>
      <c r="AB495" s="5"/>
      <c r="AC495" s="5"/>
      <c r="AD495" s="5"/>
      <c r="AE495" s="6">
        <v>4</v>
      </c>
      <c r="AF495" s="6">
        <v>25</v>
      </c>
      <c r="AG495" s="6">
        <v>8</v>
      </c>
      <c r="AH495" s="6">
        <v>4</v>
      </c>
      <c r="AI495" s="5"/>
      <c r="AJ495" s="5"/>
      <c r="AK495" s="5"/>
      <c r="AL495" s="6">
        <v>305</v>
      </c>
    </row>
    <row r="496" spans="1:38" ht="11.1" customHeight="1" x14ac:dyDescent="0.2">
      <c r="A496" s="4" t="s">
        <v>1023</v>
      </c>
      <c r="B496" s="4" t="s">
        <v>1024</v>
      </c>
      <c r="C496" s="4" t="s">
        <v>1024</v>
      </c>
      <c r="D496" s="4">
        <v>10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6">
        <v>2</v>
      </c>
      <c r="V496" s="5"/>
      <c r="W496" s="5"/>
      <c r="X496" s="6">
        <v>4</v>
      </c>
      <c r="Y496" s="5"/>
      <c r="Z496" s="5"/>
      <c r="AA496" s="6">
        <v>21</v>
      </c>
      <c r="AB496" s="5"/>
      <c r="AC496" s="6">
        <v>1</v>
      </c>
      <c r="AD496" s="5"/>
      <c r="AE496" s="5"/>
      <c r="AF496" s="5"/>
      <c r="AG496" s="5"/>
      <c r="AH496" s="5"/>
      <c r="AI496" s="5"/>
      <c r="AJ496" s="5"/>
      <c r="AK496" s="5"/>
      <c r="AL496" s="6">
        <v>28</v>
      </c>
    </row>
    <row r="497" spans="1:38" ht="11.1" customHeight="1" x14ac:dyDescent="0.2">
      <c r="A497" s="4" t="s">
        <v>1025</v>
      </c>
      <c r="B497" s="4" t="s">
        <v>1026</v>
      </c>
      <c r="C497" s="4" t="s">
        <v>1665</v>
      </c>
      <c r="D497" s="4">
        <v>10</v>
      </c>
      <c r="E497" s="5"/>
      <c r="F497" s="5"/>
      <c r="G497" s="6">
        <v>4</v>
      </c>
      <c r="H497" s="6">
        <v>10</v>
      </c>
      <c r="I497" s="6">
        <v>183</v>
      </c>
      <c r="J497" s="6">
        <v>96</v>
      </c>
      <c r="K497" s="6">
        <v>184</v>
      </c>
      <c r="L497" s="6">
        <v>194</v>
      </c>
      <c r="M497" s="6">
        <v>158</v>
      </c>
      <c r="N497" s="6">
        <v>237</v>
      </c>
      <c r="O497" s="6">
        <v>111</v>
      </c>
      <c r="P497" s="6">
        <v>171</v>
      </c>
      <c r="Q497" s="6">
        <v>112</v>
      </c>
      <c r="R497" s="6">
        <v>130</v>
      </c>
      <c r="S497" s="6">
        <v>93</v>
      </c>
      <c r="T497" s="6">
        <v>174</v>
      </c>
      <c r="U497" s="6">
        <v>98</v>
      </c>
      <c r="V497" s="6">
        <v>71</v>
      </c>
      <c r="W497" s="6">
        <v>190</v>
      </c>
      <c r="X497" s="6">
        <v>89</v>
      </c>
      <c r="Y497" s="6">
        <v>149</v>
      </c>
      <c r="Z497" s="6">
        <v>68</v>
      </c>
      <c r="AA497" s="6">
        <v>93</v>
      </c>
      <c r="AB497" s="6">
        <v>159</v>
      </c>
      <c r="AC497" s="6">
        <v>24</v>
      </c>
      <c r="AD497" s="6">
        <v>31</v>
      </c>
      <c r="AE497" s="6">
        <v>68</v>
      </c>
      <c r="AF497" s="6">
        <v>236</v>
      </c>
      <c r="AG497" s="6">
        <v>41</v>
      </c>
      <c r="AH497" s="6">
        <v>66</v>
      </c>
      <c r="AI497" s="6">
        <v>46</v>
      </c>
      <c r="AJ497" s="6">
        <v>87</v>
      </c>
      <c r="AK497" s="6">
        <v>47</v>
      </c>
      <c r="AL497" s="7">
        <v>3420</v>
      </c>
    </row>
    <row r="498" spans="1:38" ht="11.1" customHeight="1" x14ac:dyDescent="0.2">
      <c r="A498" s="4" t="s">
        <v>1027</v>
      </c>
      <c r="B498" s="4" t="s">
        <v>1028</v>
      </c>
      <c r="C498" s="4" t="s">
        <v>1666</v>
      </c>
      <c r="D498" s="4">
        <v>10</v>
      </c>
      <c r="E498" s="5"/>
      <c r="F498" s="6">
        <v>20</v>
      </c>
      <c r="G498" s="6">
        <v>30</v>
      </c>
      <c r="H498" s="5"/>
      <c r="I498" s="6">
        <v>50</v>
      </c>
      <c r="J498" s="6">
        <v>38</v>
      </c>
      <c r="K498" s="6">
        <v>50</v>
      </c>
      <c r="L498" s="6">
        <v>45</v>
      </c>
      <c r="M498" s="6">
        <v>89</v>
      </c>
      <c r="N498" s="5"/>
      <c r="O498" s="6">
        <v>10</v>
      </c>
      <c r="P498" s="6">
        <v>28</v>
      </c>
      <c r="Q498" s="6">
        <v>10</v>
      </c>
      <c r="R498" s="6">
        <v>43</v>
      </c>
      <c r="S498" s="6">
        <v>47</v>
      </c>
      <c r="T498" s="6">
        <v>46</v>
      </c>
      <c r="U498" s="6">
        <v>44</v>
      </c>
      <c r="V498" s="6">
        <v>68</v>
      </c>
      <c r="W498" s="6">
        <v>19</v>
      </c>
      <c r="X498" s="6">
        <v>3</v>
      </c>
      <c r="Y498" s="6">
        <v>13</v>
      </c>
      <c r="Z498" s="6">
        <v>3</v>
      </c>
      <c r="AA498" s="5"/>
      <c r="AB498" s="5"/>
      <c r="AC498" s="5"/>
      <c r="AD498" s="5"/>
      <c r="AE498" s="5"/>
      <c r="AF498" s="6">
        <v>1</v>
      </c>
      <c r="AG498" s="6">
        <v>12</v>
      </c>
      <c r="AH498" s="6">
        <v>26</v>
      </c>
      <c r="AI498" s="6">
        <v>24</v>
      </c>
      <c r="AJ498" s="5"/>
      <c r="AK498" s="6">
        <v>9</v>
      </c>
      <c r="AL498" s="6">
        <v>728</v>
      </c>
    </row>
    <row r="499" spans="1:38" ht="11.1" customHeight="1" x14ac:dyDescent="0.2">
      <c r="A499" s="4" t="s">
        <v>1029</v>
      </c>
      <c r="B499" s="4" t="s">
        <v>1030</v>
      </c>
      <c r="C499" s="4" t="s">
        <v>1667</v>
      </c>
      <c r="D499" s="4">
        <v>15</v>
      </c>
      <c r="E499" s="5"/>
      <c r="F499" s="5"/>
      <c r="G499" s="5"/>
      <c r="H499" s="5"/>
      <c r="I499" s="6">
        <v>10</v>
      </c>
      <c r="J499" s="6">
        <v>3</v>
      </c>
      <c r="K499" s="5"/>
      <c r="L499" s="6">
        <v>56</v>
      </c>
      <c r="M499" s="5"/>
      <c r="N499" s="6">
        <v>26</v>
      </c>
      <c r="O499" s="6">
        <v>1</v>
      </c>
      <c r="P499" s="5"/>
      <c r="Q499" s="5"/>
      <c r="R499" s="6">
        <v>20</v>
      </c>
      <c r="S499" s="5"/>
      <c r="T499" s="6">
        <v>15</v>
      </c>
      <c r="U499" s="5"/>
      <c r="V499" s="6">
        <v>10</v>
      </c>
      <c r="W499" s="6">
        <v>1</v>
      </c>
      <c r="X499" s="6">
        <v>2</v>
      </c>
      <c r="Y499" s="6">
        <v>10</v>
      </c>
      <c r="Z499" s="6">
        <v>10</v>
      </c>
      <c r="AA499" s="5"/>
      <c r="AB499" s="6">
        <v>20</v>
      </c>
      <c r="AC499" s="6">
        <v>2</v>
      </c>
      <c r="AD499" s="6">
        <v>1</v>
      </c>
      <c r="AE499" s="5"/>
      <c r="AF499" s="6">
        <v>1</v>
      </c>
      <c r="AG499" s="6">
        <v>2</v>
      </c>
      <c r="AH499" s="6">
        <v>20</v>
      </c>
      <c r="AI499" s="5"/>
      <c r="AJ499" s="6">
        <v>2</v>
      </c>
      <c r="AK499" s="5"/>
      <c r="AL499" s="6">
        <v>212</v>
      </c>
    </row>
    <row r="500" spans="1:38" ht="11.1" customHeight="1" x14ac:dyDescent="0.2">
      <c r="A500" s="4" t="s">
        <v>1031</v>
      </c>
      <c r="B500" s="4" t="s">
        <v>1032</v>
      </c>
      <c r="C500" s="4" t="s">
        <v>1668</v>
      </c>
      <c r="D500" s="4">
        <v>5</v>
      </c>
      <c r="E500" s="5"/>
      <c r="F500" s="5"/>
      <c r="G500" s="5"/>
      <c r="H500" s="5"/>
      <c r="I500" s="6">
        <v>16</v>
      </c>
      <c r="J500" s="6">
        <v>10</v>
      </c>
      <c r="K500" s="6">
        <v>18</v>
      </c>
      <c r="L500" s="5"/>
      <c r="M500" s="6">
        <v>27</v>
      </c>
      <c r="N500" s="6">
        <v>46</v>
      </c>
      <c r="O500" s="6">
        <v>10</v>
      </c>
      <c r="P500" s="6">
        <v>23</v>
      </c>
      <c r="Q500" s="5"/>
      <c r="R500" s="6">
        <v>3</v>
      </c>
      <c r="S500" s="5"/>
      <c r="T500" s="6">
        <v>52</v>
      </c>
      <c r="U500" s="6">
        <v>10</v>
      </c>
      <c r="V500" s="6">
        <v>7</v>
      </c>
      <c r="W500" s="6">
        <v>12</v>
      </c>
      <c r="X500" s="6">
        <v>6</v>
      </c>
      <c r="Y500" s="6">
        <v>49</v>
      </c>
      <c r="Z500" s="6">
        <v>13</v>
      </c>
      <c r="AA500" s="6">
        <v>13</v>
      </c>
      <c r="AB500" s="6">
        <v>22</v>
      </c>
      <c r="AC500" s="5"/>
      <c r="AD500" s="6">
        <v>3</v>
      </c>
      <c r="AE500" s="6">
        <v>1</v>
      </c>
      <c r="AF500" s="6">
        <v>2</v>
      </c>
      <c r="AG500" s="6">
        <v>22</v>
      </c>
      <c r="AH500" s="5"/>
      <c r="AI500" s="6">
        <v>9</v>
      </c>
      <c r="AJ500" s="6">
        <v>16</v>
      </c>
      <c r="AK500" s="6">
        <v>11</v>
      </c>
      <c r="AL500" s="6">
        <v>401</v>
      </c>
    </row>
    <row r="501" spans="1:38" ht="11.1" customHeight="1" x14ac:dyDescent="0.2">
      <c r="A501" s="4" t="s">
        <v>1033</v>
      </c>
      <c r="B501" s="4" t="s">
        <v>1034</v>
      </c>
      <c r="C501" s="4" t="s">
        <v>1184</v>
      </c>
      <c r="D501" s="4">
        <v>20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6">
        <v>3</v>
      </c>
      <c r="AF501" s="5"/>
      <c r="AG501" s="5"/>
      <c r="AH501" s="5"/>
      <c r="AI501" s="5"/>
      <c r="AJ501" s="5"/>
      <c r="AK501" s="5"/>
      <c r="AL501" s="6">
        <v>3</v>
      </c>
    </row>
    <row r="502" spans="1:38" ht="11.1" customHeight="1" x14ac:dyDescent="0.2">
      <c r="A502" s="4" t="s">
        <v>1035</v>
      </c>
      <c r="B502" s="4" t="s">
        <v>1036</v>
      </c>
      <c r="C502" s="4" t="s">
        <v>1669</v>
      </c>
      <c r="D502" s="4">
        <v>5</v>
      </c>
      <c r="E502" s="5"/>
      <c r="F502" s="6">
        <v>175</v>
      </c>
      <c r="G502" s="6">
        <v>128</v>
      </c>
      <c r="H502" s="6">
        <v>556</v>
      </c>
      <c r="I502" s="6">
        <v>340</v>
      </c>
      <c r="J502" s="6">
        <v>391</v>
      </c>
      <c r="K502" s="6">
        <v>350</v>
      </c>
      <c r="L502" s="6">
        <v>230</v>
      </c>
      <c r="M502" s="6">
        <v>236</v>
      </c>
      <c r="N502" s="6">
        <v>237</v>
      </c>
      <c r="O502" s="6">
        <v>416</v>
      </c>
      <c r="P502" s="6">
        <v>464</v>
      </c>
      <c r="Q502" s="6">
        <v>476</v>
      </c>
      <c r="R502" s="6">
        <v>946</v>
      </c>
      <c r="S502" s="6">
        <v>256</v>
      </c>
      <c r="T502" s="6">
        <v>256</v>
      </c>
      <c r="U502" s="6">
        <v>761</v>
      </c>
      <c r="V502" s="6">
        <v>548</v>
      </c>
      <c r="W502" s="6">
        <v>242</v>
      </c>
      <c r="X502" s="6">
        <v>508</v>
      </c>
      <c r="Y502" s="6">
        <v>390</v>
      </c>
      <c r="Z502" s="6">
        <v>308</v>
      </c>
      <c r="AA502" s="6">
        <v>141</v>
      </c>
      <c r="AB502" s="6">
        <v>350</v>
      </c>
      <c r="AC502" s="6">
        <v>105</v>
      </c>
      <c r="AD502" s="6">
        <v>310</v>
      </c>
      <c r="AE502" s="6">
        <v>268</v>
      </c>
      <c r="AF502" s="6">
        <v>585</v>
      </c>
      <c r="AG502" s="6">
        <v>221</v>
      </c>
      <c r="AH502" s="6">
        <v>303</v>
      </c>
      <c r="AI502" s="6">
        <v>192</v>
      </c>
      <c r="AJ502" s="6">
        <v>348</v>
      </c>
      <c r="AK502" s="6">
        <v>236</v>
      </c>
      <c r="AL502" s="7">
        <v>11273</v>
      </c>
    </row>
    <row r="503" spans="1:38" ht="11.1" customHeight="1" x14ac:dyDescent="0.2">
      <c r="A503" s="4" t="s">
        <v>1037</v>
      </c>
      <c r="B503" s="4" t="s">
        <v>1038</v>
      </c>
      <c r="C503" s="4" t="s">
        <v>1670</v>
      </c>
      <c r="D503" s="4">
        <v>5</v>
      </c>
      <c r="E503" s="6">
        <v>4</v>
      </c>
      <c r="F503" s="5"/>
      <c r="G503" s="5"/>
      <c r="H503" s="6">
        <v>41</v>
      </c>
      <c r="I503" s="5"/>
      <c r="J503" s="5"/>
      <c r="K503" s="6">
        <v>2</v>
      </c>
      <c r="L503" s="6">
        <v>71</v>
      </c>
      <c r="M503" s="6">
        <v>29</v>
      </c>
      <c r="N503" s="6">
        <v>3</v>
      </c>
      <c r="O503" s="6">
        <v>15</v>
      </c>
      <c r="P503" s="6">
        <v>42</v>
      </c>
      <c r="Q503" s="6">
        <v>30</v>
      </c>
      <c r="R503" s="6">
        <v>27</v>
      </c>
      <c r="S503" s="6">
        <v>9</v>
      </c>
      <c r="T503" s="6">
        <v>20</v>
      </c>
      <c r="U503" s="6">
        <v>10</v>
      </c>
      <c r="V503" s="5"/>
      <c r="W503" s="5"/>
      <c r="X503" s="5"/>
      <c r="Y503" s="6">
        <v>8</v>
      </c>
      <c r="Z503" s="6">
        <v>112</v>
      </c>
      <c r="AA503" s="6">
        <v>-50</v>
      </c>
      <c r="AB503" s="6">
        <v>20</v>
      </c>
      <c r="AC503" s="6">
        <v>26</v>
      </c>
      <c r="AD503" s="6">
        <v>44</v>
      </c>
      <c r="AE503" s="6">
        <v>11</v>
      </c>
      <c r="AF503" s="5"/>
      <c r="AG503" s="6">
        <v>15</v>
      </c>
      <c r="AH503" s="6">
        <v>18</v>
      </c>
      <c r="AI503" s="5"/>
      <c r="AJ503" s="5"/>
      <c r="AK503" s="6">
        <v>26</v>
      </c>
      <c r="AL503" s="6">
        <v>533</v>
      </c>
    </row>
    <row r="504" spans="1:38" ht="11.1" customHeight="1" x14ac:dyDescent="0.2">
      <c r="A504" s="4" t="s">
        <v>1039</v>
      </c>
      <c r="B504" s="4" t="s">
        <v>1040</v>
      </c>
      <c r="C504" s="4" t="s">
        <v>1671</v>
      </c>
      <c r="D504" s="4">
        <v>5</v>
      </c>
      <c r="E504" s="5"/>
      <c r="F504" s="6">
        <v>31</v>
      </c>
      <c r="G504" s="6">
        <v>11</v>
      </c>
      <c r="H504" s="6">
        <v>58</v>
      </c>
      <c r="I504" s="6">
        <v>110</v>
      </c>
      <c r="J504" s="6">
        <v>43</v>
      </c>
      <c r="K504" s="6">
        <v>54</v>
      </c>
      <c r="L504" s="6">
        <v>49</v>
      </c>
      <c r="M504" s="6">
        <v>32</v>
      </c>
      <c r="N504" s="6">
        <v>16</v>
      </c>
      <c r="O504" s="6">
        <v>65</v>
      </c>
      <c r="P504" s="6">
        <v>39</v>
      </c>
      <c r="Q504" s="6">
        <v>25</v>
      </c>
      <c r="R504" s="6">
        <v>73</v>
      </c>
      <c r="S504" s="6">
        <v>15</v>
      </c>
      <c r="T504" s="6">
        <v>52</v>
      </c>
      <c r="U504" s="6">
        <v>23</v>
      </c>
      <c r="V504" s="6">
        <v>14</v>
      </c>
      <c r="W504" s="6">
        <v>36</v>
      </c>
      <c r="X504" s="6">
        <v>8</v>
      </c>
      <c r="Y504" s="6">
        <v>15</v>
      </c>
      <c r="Z504" s="6">
        <v>41</v>
      </c>
      <c r="AA504" s="6">
        <v>47</v>
      </c>
      <c r="AB504" s="6">
        <v>41</v>
      </c>
      <c r="AC504" s="6">
        <v>50</v>
      </c>
      <c r="AD504" s="6">
        <v>25</v>
      </c>
      <c r="AE504" s="5"/>
      <c r="AF504" s="6">
        <v>12</v>
      </c>
      <c r="AG504" s="5"/>
      <c r="AH504" s="6">
        <v>53</v>
      </c>
      <c r="AI504" s="6">
        <v>25</v>
      </c>
      <c r="AJ504" s="6">
        <v>50</v>
      </c>
      <c r="AK504" s="6">
        <v>6</v>
      </c>
      <c r="AL504" s="7">
        <v>1119</v>
      </c>
    </row>
    <row r="505" spans="1:38" ht="11.1" customHeight="1" x14ac:dyDescent="0.2">
      <c r="A505" s="4" t="s">
        <v>1041</v>
      </c>
      <c r="B505" s="4" t="s">
        <v>1042</v>
      </c>
      <c r="C505" s="4" t="s">
        <v>1672</v>
      </c>
      <c r="D505" s="4">
        <v>5</v>
      </c>
      <c r="E505" s="5"/>
      <c r="F505" s="6">
        <v>2</v>
      </c>
      <c r="G505" s="5"/>
      <c r="H505" s="6">
        <v>1</v>
      </c>
      <c r="I505" s="5"/>
      <c r="J505" s="6">
        <v>5</v>
      </c>
      <c r="K505" s="5"/>
      <c r="L505" s="5"/>
      <c r="M505" s="5"/>
      <c r="N505" s="5"/>
      <c r="O505" s="6">
        <v>10</v>
      </c>
      <c r="P505" s="5"/>
      <c r="Q505" s="5"/>
      <c r="R505" s="6">
        <v>3</v>
      </c>
      <c r="S505" s="5"/>
      <c r="T505" s="6">
        <v>20</v>
      </c>
      <c r="U505" s="5"/>
      <c r="V505" s="6">
        <v>11</v>
      </c>
      <c r="W505" s="5"/>
      <c r="X505" s="5"/>
      <c r="Y505" s="5"/>
      <c r="Z505" s="5"/>
      <c r="AA505" s="6">
        <v>9</v>
      </c>
      <c r="AB505" s="6">
        <v>8</v>
      </c>
      <c r="AC505" s="6">
        <v>1</v>
      </c>
      <c r="AD505" s="5"/>
      <c r="AE505" s="6">
        <v>10</v>
      </c>
      <c r="AF505" s="6">
        <v>6</v>
      </c>
      <c r="AG505" s="6">
        <v>5</v>
      </c>
      <c r="AH505" s="6">
        <v>5</v>
      </c>
      <c r="AI505" s="5"/>
      <c r="AJ505" s="6">
        <v>2</v>
      </c>
      <c r="AK505" s="5"/>
      <c r="AL505" s="6">
        <v>98</v>
      </c>
    </row>
    <row r="506" spans="1:38" ht="11.1" customHeight="1" x14ac:dyDescent="0.2">
      <c r="A506" s="4" t="s">
        <v>1043</v>
      </c>
      <c r="B506" s="4" t="s">
        <v>1044</v>
      </c>
      <c r="C506" s="4" t="s">
        <v>1673</v>
      </c>
      <c r="D506" s="4">
        <v>5</v>
      </c>
      <c r="E506" s="5"/>
      <c r="F506" s="6">
        <v>11</v>
      </c>
      <c r="G506" s="6">
        <v>12</v>
      </c>
      <c r="H506" s="6">
        <v>74</v>
      </c>
      <c r="I506" s="6">
        <v>26</v>
      </c>
      <c r="J506" s="6">
        <v>10</v>
      </c>
      <c r="K506" s="6">
        <v>56</v>
      </c>
      <c r="L506" s="6">
        <v>11</v>
      </c>
      <c r="M506" s="6">
        <v>8</v>
      </c>
      <c r="N506" s="6">
        <v>25</v>
      </c>
      <c r="O506" s="6">
        <v>28</v>
      </c>
      <c r="P506" s="6">
        <v>15</v>
      </c>
      <c r="Q506" s="6">
        <v>15</v>
      </c>
      <c r="R506" s="6">
        <v>40</v>
      </c>
      <c r="S506" s="6">
        <v>18</v>
      </c>
      <c r="T506" s="6">
        <v>17</v>
      </c>
      <c r="U506" s="6">
        <v>17</v>
      </c>
      <c r="V506" s="6">
        <v>36</v>
      </c>
      <c r="W506" s="6">
        <v>12</v>
      </c>
      <c r="X506" s="6">
        <v>14</v>
      </c>
      <c r="Y506" s="6">
        <v>20</v>
      </c>
      <c r="Z506" s="6">
        <v>12</v>
      </c>
      <c r="AA506" s="5"/>
      <c r="AB506" s="6">
        <v>32</v>
      </c>
      <c r="AC506" s="6">
        <v>18</v>
      </c>
      <c r="AD506" s="6">
        <v>15</v>
      </c>
      <c r="AE506" s="5"/>
      <c r="AF506" s="6">
        <v>2</v>
      </c>
      <c r="AG506" s="5"/>
      <c r="AH506" s="6">
        <v>11</v>
      </c>
      <c r="AI506" s="6">
        <v>27</v>
      </c>
      <c r="AJ506" s="6">
        <v>42</v>
      </c>
      <c r="AK506" s="6">
        <v>1</v>
      </c>
      <c r="AL506" s="6">
        <v>625</v>
      </c>
    </row>
    <row r="507" spans="1:38" ht="11.1" customHeight="1" x14ac:dyDescent="0.2">
      <c r="A507" s="4" t="s">
        <v>1045</v>
      </c>
      <c r="B507" s="4" t="s">
        <v>1046</v>
      </c>
      <c r="C507" s="4" t="s">
        <v>1674</v>
      </c>
      <c r="D507" s="4">
        <v>5</v>
      </c>
      <c r="E507" s="5"/>
      <c r="F507" s="5"/>
      <c r="G507" s="5"/>
      <c r="H507" s="5"/>
      <c r="I507" s="6">
        <v>23</v>
      </c>
      <c r="J507" s="6">
        <v>35</v>
      </c>
      <c r="K507" s="6">
        <v>86</v>
      </c>
      <c r="L507" s="6">
        <v>19</v>
      </c>
      <c r="M507" s="6">
        <v>13</v>
      </c>
      <c r="N507" s="6">
        <v>36</v>
      </c>
      <c r="O507" s="6">
        <v>63</v>
      </c>
      <c r="P507" s="6">
        <v>111</v>
      </c>
      <c r="Q507" s="6">
        <v>39</v>
      </c>
      <c r="R507" s="6">
        <v>126</v>
      </c>
      <c r="S507" s="6">
        <v>67</v>
      </c>
      <c r="T507" s="6">
        <v>72</v>
      </c>
      <c r="U507" s="6">
        <v>41</v>
      </c>
      <c r="V507" s="6">
        <v>60</v>
      </c>
      <c r="W507" s="6">
        <v>79</v>
      </c>
      <c r="X507" s="6">
        <v>46</v>
      </c>
      <c r="Y507" s="6">
        <v>55</v>
      </c>
      <c r="Z507" s="6">
        <v>16</v>
      </c>
      <c r="AA507" s="6">
        <v>41</v>
      </c>
      <c r="AB507" s="6">
        <v>19</v>
      </c>
      <c r="AC507" s="6">
        <v>8</v>
      </c>
      <c r="AD507" s="6">
        <v>25</v>
      </c>
      <c r="AE507" s="6">
        <v>18</v>
      </c>
      <c r="AF507" s="6">
        <v>59</v>
      </c>
      <c r="AG507" s="6">
        <v>52</v>
      </c>
      <c r="AH507" s="6">
        <v>43</v>
      </c>
      <c r="AI507" s="6">
        <v>13</v>
      </c>
      <c r="AJ507" s="6">
        <v>26</v>
      </c>
      <c r="AK507" s="6">
        <v>38</v>
      </c>
      <c r="AL507" s="7">
        <v>1329</v>
      </c>
    </row>
    <row r="508" spans="1:38" ht="11.1" customHeight="1" x14ac:dyDescent="0.2">
      <c r="A508" s="4" t="s">
        <v>1047</v>
      </c>
      <c r="B508" s="4" t="s">
        <v>1048</v>
      </c>
      <c r="C508" s="4" t="s">
        <v>1675</v>
      </c>
      <c r="D508" s="4">
        <v>5</v>
      </c>
      <c r="E508" s="6">
        <v>18</v>
      </c>
      <c r="F508" s="5"/>
      <c r="G508" s="5"/>
      <c r="H508" s="6">
        <v>5</v>
      </c>
      <c r="I508" s="5"/>
      <c r="J508" s="6">
        <v>5</v>
      </c>
      <c r="K508" s="5"/>
      <c r="L508" s="6">
        <v>1</v>
      </c>
      <c r="M508" s="5"/>
      <c r="N508" s="5"/>
      <c r="O508" s="5"/>
      <c r="P508" s="5"/>
      <c r="Q508" s="5"/>
      <c r="R508" s="5"/>
      <c r="S508" s="5"/>
      <c r="T508" s="5"/>
      <c r="U508" s="5"/>
      <c r="V508" s="6">
        <v>3</v>
      </c>
      <c r="W508" s="5"/>
      <c r="X508" s="5"/>
      <c r="Y508" s="5"/>
      <c r="Z508" s="5"/>
      <c r="AA508" s="5"/>
      <c r="AB508" s="6">
        <v>8</v>
      </c>
      <c r="AC508" s="6">
        <v>4</v>
      </c>
      <c r="AD508" s="5"/>
      <c r="AE508" s="5"/>
      <c r="AF508" s="5"/>
      <c r="AG508" s="5"/>
      <c r="AH508" s="6">
        <v>2</v>
      </c>
      <c r="AI508" s="5"/>
      <c r="AJ508" s="6">
        <v>5</v>
      </c>
      <c r="AK508" s="6">
        <v>1</v>
      </c>
      <c r="AL508" s="6">
        <v>52</v>
      </c>
    </row>
    <row r="509" spans="1:38" ht="11.1" customHeight="1" x14ac:dyDescent="0.2">
      <c r="A509" s="4" t="s">
        <v>1049</v>
      </c>
      <c r="B509" s="4" t="s">
        <v>1050</v>
      </c>
      <c r="C509" s="4" t="s">
        <v>1676</v>
      </c>
      <c r="D509" s="4">
        <v>5</v>
      </c>
      <c r="E509" s="5"/>
      <c r="F509" s="6">
        <v>5</v>
      </c>
      <c r="G509" s="6">
        <v>2</v>
      </c>
      <c r="H509" s="6">
        <v>3</v>
      </c>
      <c r="I509" s="6">
        <v>1</v>
      </c>
      <c r="J509" s="5"/>
      <c r="K509" s="6">
        <v>11</v>
      </c>
      <c r="L509" s="5"/>
      <c r="M509" s="6">
        <v>7</v>
      </c>
      <c r="N509" s="6">
        <v>11</v>
      </c>
      <c r="O509" s="6">
        <v>2</v>
      </c>
      <c r="P509" s="6">
        <v>11</v>
      </c>
      <c r="Q509" s="6">
        <v>6</v>
      </c>
      <c r="R509" s="6">
        <v>1</v>
      </c>
      <c r="S509" s="5"/>
      <c r="T509" s="6">
        <v>12</v>
      </c>
      <c r="U509" s="6">
        <v>12</v>
      </c>
      <c r="V509" s="6">
        <v>8</v>
      </c>
      <c r="W509" s="6">
        <v>3</v>
      </c>
      <c r="X509" s="6">
        <v>1</v>
      </c>
      <c r="Y509" s="6">
        <v>2</v>
      </c>
      <c r="Z509" s="6">
        <v>1</v>
      </c>
      <c r="AA509" s="5"/>
      <c r="AB509" s="6">
        <v>6</v>
      </c>
      <c r="AC509" s="5"/>
      <c r="AD509" s="5"/>
      <c r="AE509" s="6">
        <v>2</v>
      </c>
      <c r="AF509" s="6">
        <v>6</v>
      </c>
      <c r="AG509" s="6">
        <v>10</v>
      </c>
      <c r="AH509" s="6">
        <v>4</v>
      </c>
      <c r="AI509" s="5"/>
      <c r="AJ509" s="6">
        <v>4</v>
      </c>
      <c r="AK509" s="6">
        <v>1</v>
      </c>
      <c r="AL509" s="6">
        <v>132</v>
      </c>
    </row>
    <row r="510" spans="1:38" ht="11.1" customHeight="1" x14ac:dyDescent="0.2">
      <c r="A510" s="4" t="s">
        <v>1051</v>
      </c>
      <c r="B510" s="4" t="s">
        <v>1052</v>
      </c>
      <c r="C510" s="4" t="s">
        <v>1677</v>
      </c>
      <c r="D510" s="4">
        <v>5</v>
      </c>
      <c r="E510" s="6">
        <v>7</v>
      </c>
      <c r="F510" s="6">
        <v>11</v>
      </c>
      <c r="G510" s="6">
        <v>7</v>
      </c>
      <c r="H510" s="6">
        <v>27</v>
      </c>
      <c r="I510" s="6">
        <v>7</v>
      </c>
      <c r="J510" s="6">
        <v>17</v>
      </c>
      <c r="K510" s="6">
        <v>14</v>
      </c>
      <c r="L510" s="6">
        <v>10</v>
      </c>
      <c r="M510" s="6">
        <v>5</v>
      </c>
      <c r="N510" s="6">
        <v>11</v>
      </c>
      <c r="O510" s="6">
        <v>11</v>
      </c>
      <c r="P510" s="6">
        <v>25</v>
      </c>
      <c r="Q510" s="6">
        <v>7</v>
      </c>
      <c r="R510" s="6">
        <v>50</v>
      </c>
      <c r="S510" s="6">
        <v>2</v>
      </c>
      <c r="T510" s="6">
        <v>16</v>
      </c>
      <c r="U510" s="6">
        <v>20</v>
      </c>
      <c r="V510" s="6">
        <v>27</v>
      </c>
      <c r="W510" s="6">
        <v>10</v>
      </c>
      <c r="X510" s="6">
        <v>9</v>
      </c>
      <c r="Y510" s="6">
        <v>11</v>
      </c>
      <c r="Z510" s="6">
        <v>3</v>
      </c>
      <c r="AA510" s="5"/>
      <c r="AB510" s="6">
        <v>10</v>
      </c>
      <c r="AC510" s="6">
        <v>4</v>
      </c>
      <c r="AD510" s="6">
        <v>12</v>
      </c>
      <c r="AE510" s="6">
        <v>10</v>
      </c>
      <c r="AF510" s="6">
        <v>31</v>
      </c>
      <c r="AG510" s="6">
        <v>2</v>
      </c>
      <c r="AH510" s="6">
        <v>2</v>
      </c>
      <c r="AI510" s="6">
        <v>11</v>
      </c>
      <c r="AJ510" s="6">
        <v>38</v>
      </c>
      <c r="AK510" s="6">
        <v>6</v>
      </c>
      <c r="AL510" s="6">
        <v>433</v>
      </c>
    </row>
    <row r="511" spans="1:38" ht="11.1" customHeight="1" x14ac:dyDescent="0.2">
      <c r="A511" s="4" t="s">
        <v>1053</v>
      </c>
      <c r="B511" s="4" t="s">
        <v>1054</v>
      </c>
      <c r="C511" s="4" t="s">
        <v>1678</v>
      </c>
      <c r="D511" s="4">
        <v>5</v>
      </c>
      <c r="E511" s="6">
        <v>8</v>
      </c>
      <c r="F511" s="6">
        <v>13</v>
      </c>
      <c r="G511" s="6">
        <v>8</v>
      </c>
      <c r="H511" s="6">
        <v>30</v>
      </c>
      <c r="I511" s="6">
        <v>8</v>
      </c>
      <c r="J511" s="6">
        <v>22</v>
      </c>
      <c r="K511" s="6">
        <v>11</v>
      </c>
      <c r="L511" s="6">
        <v>18</v>
      </c>
      <c r="M511" s="6">
        <v>21</v>
      </c>
      <c r="N511" s="6">
        <v>31</v>
      </c>
      <c r="O511" s="6">
        <v>32</v>
      </c>
      <c r="P511" s="6">
        <v>19</v>
      </c>
      <c r="Q511" s="6">
        <v>2</v>
      </c>
      <c r="R511" s="6">
        <v>31</v>
      </c>
      <c r="S511" s="6">
        <v>16</v>
      </c>
      <c r="T511" s="6">
        <v>5</v>
      </c>
      <c r="U511" s="6">
        <v>34</v>
      </c>
      <c r="V511" s="6">
        <v>24</v>
      </c>
      <c r="W511" s="6">
        <v>15</v>
      </c>
      <c r="X511" s="6">
        <v>35</v>
      </c>
      <c r="Y511" s="6">
        <v>34</v>
      </c>
      <c r="Z511" s="6">
        <v>16</v>
      </c>
      <c r="AA511" s="6">
        <v>28</v>
      </c>
      <c r="AB511" s="6">
        <v>15</v>
      </c>
      <c r="AC511" s="6">
        <v>13</v>
      </c>
      <c r="AD511" s="6">
        <v>15</v>
      </c>
      <c r="AE511" s="5"/>
      <c r="AF511" s="6">
        <v>19</v>
      </c>
      <c r="AG511" s="6">
        <v>5</v>
      </c>
      <c r="AH511" s="6">
        <v>14</v>
      </c>
      <c r="AI511" s="6">
        <v>60</v>
      </c>
      <c r="AJ511" s="6">
        <v>19</v>
      </c>
      <c r="AK511" s="6">
        <v>12</v>
      </c>
      <c r="AL511" s="6">
        <v>633</v>
      </c>
    </row>
    <row r="512" spans="1:38" ht="11.1" customHeight="1" x14ac:dyDescent="0.2">
      <c r="A512" s="4" t="s">
        <v>1055</v>
      </c>
      <c r="B512" s="4" t="s">
        <v>1056</v>
      </c>
      <c r="C512" s="4" t="s">
        <v>1679</v>
      </c>
      <c r="D512" s="4">
        <v>5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6">
        <v>9</v>
      </c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6">
        <v>9</v>
      </c>
    </row>
    <row r="513" spans="1:38" ht="11.1" customHeight="1" x14ac:dyDescent="0.2">
      <c r="A513" s="4" t="s">
        <v>1057</v>
      </c>
      <c r="B513" s="4" t="s">
        <v>1058</v>
      </c>
      <c r="C513" s="4" t="s">
        <v>1680</v>
      </c>
      <c r="D513" s="4">
        <v>5</v>
      </c>
      <c r="E513" s="5"/>
      <c r="F513" s="6">
        <v>2</v>
      </c>
      <c r="G513" s="6">
        <v>1</v>
      </c>
      <c r="H513" s="6">
        <v>15</v>
      </c>
      <c r="I513" s="6">
        <v>4</v>
      </c>
      <c r="J513" s="6">
        <v>4</v>
      </c>
      <c r="K513" s="5"/>
      <c r="L513" s="6">
        <v>2</v>
      </c>
      <c r="M513" s="5"/>
      <c r="N513" s="6">
        <v>10</v>
      </c>
      <c r="O513" s="5"/>
      <c r="P513" s="6">
        <v>1</v>
      </c>
      <c r="Q513" s="6">
        <v>1</v>
      </c>
      <c r="R513" s="6">
        <v>8</v>
      </c>
      <c r="S513" s="5"/>
      <c r="T513" s="6">
        <v>10</v>
      </c>
      <c r="U513" s="5"/>
      <c r="V513" s="6">
        <v>5</v>
      </c>
      <c r="W513" s="5"/>
      <c r="X513" s="6">
        <v>1</v>
      </c>
      <c r="Y513" s="6">
        <v>4</v>
      </c>
      <c r="Z513" s="5"/>
      <c r="AA513" s="6">
        <v>5</v>
      </c>
      <c r="AB513" s="6">
        <v>3</v>
      </c>
      <c r="AC513" s="5"/>
      <c r="AD513" s="6">
        <v>4</v>
      </c>
      <c r="AE513" s="5"/>
      <c r="AF513" s="6">
        <v>1</v>
      </c>
      <c r="AG513" s="6">
        <v>6</v>
      </c>
      <c r="AH513" s="6">
        <v>8</v>
      </c>
      <c r="AI513" s="6">
        <v>4</v>
      </c>
      <c r="AJ513" s="6">
        <v>5</v>
      </c>
      <c r="AK513" s="6">
        <v>1</v>
      </c>
      <c r="AL513" s="6">
        <v>105</v>
      </c>
    </row>
    <row r="514" spans="1:38" ht="11.1" customHeight="1" x14ac:dyDescent="0.2">
      <c r="A514" s="4" t="s">
        <v>1059</v>
      </c>
      <c r="B514" s="4" t="s">
        <v>1060</v>
      </c>
      <c r="C514" s="4" t="s">
        <v>1681</v>
      </c>
      <c r="D514" s="4">
        <v>6</v>
      </c>
      <c r="E514" s="5"/>
      <c r="F514" s="6">
        <v>8</v>
      </c>
      <c r="G514" s="6">
        <v>1</v>
      </c>
      <c r="H514" s="6">
        <v>22</v>
      </c>
      <c r="I514" s="6">
        <v>6</v>
      </c>
      <c r="J514" s="6">
        <v>7</v>
      </c>
      <c r="K514" s="6">
        <v>5</v>
      </c>
      <c r="L514" s="6">
        <v>30</v>
      </c>
      <c r="M514" s="5"/>
      <c r="N514" s="6">
        <v>41</v>
      </c>
      <c r="O514" s="6">
        <v>20</v>
      </c>
      <c r="P514" s="6">
        <v>10</v>
      </c>
      <c r="Q514" s="6">
        <v>6</v>
      </c>
      <c r="R514" s="6">
        <v>27</v>
      </c>
      <c r="S514" s="6">
        <v>19</v>
      </c>
      <c r="T514" s="6">
        <v>45</v>
      </c>
      <c r="U514" s="5"/>
      <c r="V514" s="6">
        <v>12</v>
      </c>
      <c r="W514" s="6">
        <v>10</v>
      </c>
      <c r="X514" s="6">
        <v>12</v>
      </c>
      <c r="Y514" s="6">
        <v>38</v>
      </c>
      <c r="Z514" s="6">
        <v>10</v>
      </c>
      <c r="AA514" s="6">
        <v>62</v>
      </c>
      <c r="AB514" s="6">
        <v>11</v>
      </c>
      <c r="AC514" s="6">
        <v>6</v>
      </c>
      <c r="AD514" s="6">
        <v>30</v>
      </c>
      <c r="AE514" s="6">
        <v>8</v>
      </c>
      <c r="AF514" s="6">
        <v>20</v>
      </c>
      <c r="AG514" s="6">
        <v>11</v>
      </c>
      <c r="AH514" s="6">
        <v>48</v>
      </c>
      <c r="AI514" s="6">
        <v>17</v>
      </c>
      <c r="AJ514" s="6">
        <v>13</v>
      </c>
      <c r="AK514" s="6">
        <v>3</v>
      </c>
      <c r="AL514" s="6">
        <v>558</v>
      </c>
    </row>
    <row r="515" spans="1:38" ht="11.1" customHeight="1" x14ac:dyDescent="0.2">
      <c r="A515" s="4" t="s">
        <v>1061</v>
      </c>
      <c r="B515" s="4" t="s">
        <v>1062</v>
      </c>
      <c r="C515" s="4" t="s">
        <v>1682</v>
      </c>
      <c r="D515" s="4">
        <v>6</v>
      </c>
      <c r="E515" s="6">
        <v>1</v>
      </c>
      <c r="F515" s="6">
        <v>12</v>
      </c>
      <c r="G515" s="6">
        <v>2</v>
      </c>
      <c r="H515" s="6">
        <v>14</v>
      </c>
      <c r="I515" s="6">
        <v>14</v>
      </c>
      <c r="J515" s="6">
        <v>30</v>
      </c>
      <c r="K515" s="6">
        <v>10</v>
      </c>
      <c r="L515" s="6">
        <v>2</v>
      </c>
      <c r="M515" s="6">
        <v>10</v>
      </c>
      <c r="N515" s="6">
        <v>25</v>
      </c>
      <c r="O515" s="6">
        <v>29</v>
      </c>
      <c r="P515" s="6">
        <v>7</v>
      </c>
      <c r="Q515" s="6">
        <v>24</v>
      </c>
      <c r="R515" s="6">
        <v>50</v>
      </c>
      <c r="S515" s="6">
        <v>18</v>
      </c>
      <c r="T515" s="6">
        <v>82</v>
      </c>
      <c r="U515" s="5"/>
      <c r="V515" s="6">
        <v>24</v>
      </c>
      <c r="W515" s="6">
        <v>24</v>
      </c>
      <c r="X515" s="5"/>
      <c r="Y515" s="6">
        <v>18</v>
      </c>
      <c r="Z515" s="6">
        <v>3</v>
      </c>
      <c r="AA515" s="6">
        <v>48</v>
      </c>
      <c r="AB515" s="6">
        <v>35</v>
      </c>
      <c r="AC515" s="6">
        <v>6</v>
      </c>
      <c r="AD515" s="6">
        <v>4</v>
      </c>
      <c r="AE515" s="6">
        <v>24</v>
      </c>
      <c r="AF515" s="6">
        <v>16</v>
      </c>
      <c r="AG515" s="6">
        <v>10</v>
      </c>
      <c r="AH515" s="6">
        <v>20</v>
      </c>
      <c r="AI515" s="6">
        <v>9</v>
      </c>
      <c r="AJ515" s="6">
        <v>27</v>
      </c>
      <c r="AK515" s="6">
        <v>10</v>
      </c>
      <c r="AL515" s="6">
        <v>608</v>
      </c>
    </row>
    <row r="516" spans="1:38" ht="11.1" customHeight="1" x14ac:dyDescent="0.2">
      <c r="A516" s="4" t="s">
        <v>1063</v>
      </c>
      <c r="B516" s="4" t="s">
        <v>1064</v>
      </c>
      <c r="C516" s="4" t="s">
        <v>1683</v>
      </c>
      <c r="D516" s="4">
        <v>5</v>
      </c>
      <c r="E516" s="6">
        <v>3</v>
      </c>
      <c r="F516" s="5"/>
      <c r="G516" s="5"/>
      <c r="H516" s="5"/>
      <c r="I516" s="6">
        <v>3</v>
      </c>
      <c r="J516" s="6">
        <v>1</v>
      </c>
      <c r="K516" s="6">
        <v>2</v>
      </c>
      <c r="L516" s="6">
        <v>1</v>
      </c>
      <c r="M516" s="6">
        <v>2</v>
      </c>
      <c r="N516" s="6">
        <v>1</v>
      </c>
      <c r="O516" s="6">
        <v>2</v>
      </c>
      <c r="P516" s="6">
        <v>1</v>
      </c>
      <c r="Q516" s="5"/>
      <c r="R516" s="6">
        <v>1</v>
      </c>
      <c r="S516" s="5"/>
      <c r="T516" s="5"/>
      <c r="U516" s="6">
        <v>5</v>
      </c>
      <c r="V516" s="6">
        <v>2</v>
      </c>
      <c r="W516" s="5"/>
      <c r="X516" s="5"/>
      <c r="Y516" s="5"/>
      <c r="Z516" s="5"/>
      <c r="AA516" s="5"/>
      <c r="AB516" s="6">
        <v>4</v>
      </c>
      <c r="AC516" s="5"/>
      <c r="AD516" s="6">
        <v>1</v>
      </c>
      <c r="AE516" s="5"/>
      <c r="AF516" s="5"/>
      <c r="AG516" s="5"/>
      <c r="AH516" s="5"/>
      <c r="AI516" s="5"/>
      <c r="AJ516" s="6">
        <v>2</v>
      </c>
      <c r="AK516" s="5"/>
      <c r="AL516" s="6">
        <v>31</v>
      </c>
    </row>
    <row r="517" spans="1:38" ht="11.1" customHeight="1" x14ac:dyDescent="0.2">
      <c r="A517" s="4" t="s">
        <v>1065</v>
      </c>
      <c r="B517" s="4" t="s">
        <v>1066</v>
      </c>
      <c r="C517" s="4" t="s">
        <v>1684</v>
      </c>
      <c r="D517" s="4">
        <v>5</v>
      </c>
      <c r="E517" s="5"/>
      <c r="F517" s="5"/>
      <c r="G517" s="5"/>
      <c r="H517" s="6">
        <v>15</v>
      </c>
      <c r="I517" s="6">
        <v>48</v>
      </c>
      <c r="J517" s="6">
        <v>7</v>
      </c>
      <c r="K517" s="6">
        <v>26</v>
      </c>
      <c r="L517" s="6">
        <v>38</v>
      </c>
      <c r="M517" s="6">
        <v>6</v>
      </c>
      <c r="N517" s="6">
        <v>22</v>
      </c>
      <c r="O517" s="6">
        <v>9</v>
      </c>
      <c r="P517" s="6">
        <v>1</v>
      </c>
      <c r="Q517" s="6">
        <v>2</v>
      </c>
      <c r="R517" s="6">
        <v>1</v>
      </c>
      <c r="S517" s="5"/>
      <c r="T517" s="5"/>
      <c r="U517" s="5"/>
      <c r="V517" s="6">
        <v>4</v>
      </c>
      <c r="W517" s="6">
        <v>1</v>
      </c>
      <c r="X517" s="6">
        <v>3</v>
      </c>
      <c r="Y517" s="6">
        <v>5</v>
      </c>
      <c r="Z517" s="5"/>
      <c r="AA517" s="5"/>
      <c r="AB517" s="6">
        <v>7</v>
      </c>
      <c r="AC517" s="6">
        <v>32</v>
      </c>
      <c r="AD517" s="5"/>
      <c r="AE517" s="6">
        <v>10</v>
      </c>
      <c r="AF517" s="6">
        <v>5</v>
      </c>
      <c r="AG517" s="5"/>
      <c r="AH517" s="6">
        <v>19</v>
      </c>
      <c r="AI517" s="6">
        <v>2</v>
      </c>
      <c r="AJ517" s="6">
        <v>7</v>
      </c>
      <c r="AK517" s="5"/>
      <c r="AL517" s="6">
        <v>270</v>
      </c>
    </row>
    <row r="518" spans="1:38" ht="11.1" customHeight="1" x14ac:dyDescent="0.2">
      <c r="A518" s="4" t="s">
        <v>1067</v>
      </c>
      <c r="B518" s="4" t="s">
        <v>1068</v>
      </c>
      <c r="C518" s="4" t="s">
        <v>1685</v>
      </c>
      <c r="D518" s="4">
        <v>5</v>
      </c>
      <c r="E518" s="5"/>
      <c r="F518" s="5"/>
      <c r="G518" s="5"/>
      <c r="H518" s="5"/>
      <c r="I518" s="6">
        <v>32</v>
      </c>
      <c r="J518" s="6">
        <v>26</v>
      </c>
      <c r="K518" s="6">
        <v>43</v>
      </c>
      <c r="L518" s="6">
        <v>15</v>
      </c>
      <c r="M518" s="6">
        <v>23</v>
      </c>
      <c r="N518" s="5"/>
      <c r="O518" s="6">
        <v>88</v>
      </c>
      <c r="P518" s="6">
        <v>52</v>
      </c>
      <c r="Q518" s="5"/>
      <c r="R518" s="5"/>
      <c r="S518" s="6">
        <v>63</v>
      </c>
      <c r="T518" s="6">
        <v>6</v>
      </c>
      <c r="U518" s="6">
        <v>11</v>
      </c>
      <c r="V518" s="6">
        <v>10</v>
      </c>
      <c r="W518" s="6">
        <v>40</v>
      </c>
      <c r="X518" s="6">
        <v>73</v>
      </c>
      <c r="Y518" s="6">
        <v>35</v>
      </c>
      <c r="Z518" s="5"/>
      <c r="AA518" s="6">
        <v>124</v>
      </c>
      <c r="AB518" s="5"/>
      <c r="AC518" s="6">
        <v>75</v>
      </c>
      <c r="AD518" s="5"/>
      <c r="AE518" s="6">
        <v>12</v>
      </c>
      <c r="AF518" s="6">
        <v>6</v>
      </c>
      <c r="AG518" s="5"/>
      <c r="AH518" s="6">
        <v>1</v>
      </c>
      <c r="AI518" s="6">
        <v>15</v>
      </c>
      <c r="AJ518" s="6">
        <v>12</v>
      </c>
      <c r="AK518" s="6">
        <v>7</v>
      </c>
      <c r="AL518" s="6">
        <v>769</v>
      </c>
    </row>
    <row r="519" spans="1:38" ht="11.1" customHeight="1" x14ac:dyDescent="0.2">
      <c r="A519" s="4" t="s">
        <v>1069</v>
      </c>
      <c r="B519" s="4" t="s">
        <v>1070</v>
      </c>
      <c r="C519" s="4" t="s">
        <v>1686</v>
      </c>
      <c r="D519" s="4">
        <v>5</v>
      </c>
      <c r="E519" s="6">
        <v>-1</v>
      </c>
      <c r="F519" s="5"/>
      <c r="G519" s="5"/>
      <c r="H519" s="6">
        <v>5</v>
      </c>
      <c r="I519" s="6">
        <v>12</v>
      </c>
      <c r="J519" s="6">
        <v>2</v>
      </c>
      <c r="K519" s="6">
        <v>1</v>
      </c>
      <c r="L519" s="6">
        <v>7</v>
      </c>
      <c r="M519" s="6">
        <v>6</v>
      </c>
      <c r="N519" s="6">
        <v>10</v>
      </c>
      <c r="O519" s="6">
        <v>15</v>
      </c>
      <c r="P519" s="5"/>
      <c r="Q519" s="5"/>
      <c r="R519" s="6">
        <v>5</v>
      </c>
      <c r="S519" s="6">
        <v>4</v>
      </c>
      <c r="T519" s="6">
        <v>5</v>
      </c>
      <c r="U519" s="5"/>
      <c r="V519" s="6">
        <v>10</v>
      </c>
      <c r="W519" s="6">
        <v>3</v>
      </c>
      <c r="X519" s="6">
        <v>5</v>
      </c>
      <c r="Y519" s="5"/>
      <c r="Z519" s="5"/>
      <c r="AA519" s="5"/>
      <c r="AB519" s="6">
        <v>2</v>
      </c>
      <c r="AC519" s="6">
        <v>1</v>
      </c>
      <c r="AD519" s="6">
        <v>2</v>
      </c>
      <c r="AE519" s="6">
        <v>4</v>
      </c>
      <c r="AF519" s="6">
        <v>4</v>
      </c>
      <c r="AG519" s="5"/>
      <c r="AH519" s="6">
        <v>1</v>
      </c>
      <c r="AI519" s="5"/>
      <c r="AJ519" s="6">
        <v>2</v>
      </c>
      <c r="AK519" s="6">
        <v>4</v>
      </c>
      <c r="AL519" s="6">
        <v>109</v>
      </c>
    </row>
    <row r="520" spans="1:38" ht="11.1" customHeight="1" x14ac:dyDescent="0.2">
      <c r="A520" s="4" t="s">
        <v>1071</v>
      </c>
      <c r="B520" s="4" t="s">
        <v>1072</v>
      </c>
      <c r="C520" s="4" t="s">
        <v>1687</v>
      </c>
      <c r="D520" s="4">
        <v>5</v>
      </c>
      <c r="E520" s="5"/>
      <c r="F520" s="5"/>
      <c r="G520" s="5"/>
      <c r="H520" s="6">
        <v>2</v>
      </c>
      <c r="I520" s="6">
        <v>1</v>
      </c>
      <c r="J520" s="6">
        <v>1</v>
      </c>
      <c r="K520" s="5"/>
      <c r="L520" s="5"/>
      <c r="M520" s="5"/>
      <c r="N520" s="5"/>
      <c r="O520" s="5"/>
      <c r="P520" s="5"/>
      <c r="Q520" s="5"/>
      <c r="R520" s="5"/>
      <c r="S520" s="6">
        <v>1</v>
      </c>
      <c r="T520" s="5"/>
      <c r="U520" s="5"/>
      <c r="V520" s="5"/>
      <c r="W520" s="5"/>
      <c r="X520" s="5"/>
      <c r="Y520" s="5"/>
      <c r="Z520" s="6">
        <v>1</v>
      </c>
      <c r="AA520" s="5"/>
      <c r="AB520" s="5"/>
      <c r="AC520" s="6">
        <v>1</v>
      </c>
      <c r="AD520" s="5"/>
      <c r="AE520" s="5"/>
      <c r="AF520" s="5"/>
      <c r="AG520" s="5"/>
      <c r="AH520" s="6">
        <v>1</v>
      </c>
      <c r="AI520" s="5"/>
      <c r="AJ520" s="5"/>
      <c r="AK520" s="5"/>
      <c r="AL520" s="6">
        <v>8</v>
      </c>
    </row>
    <row r="521" spans="1:38" ht="11.1" customHeight="1" x14ac:dyDescent="0.2">
      <c r="A521" s="4" t="s">
        <v>1073</v>
      </c>
      <c r="B521" s="4" t="s">
        <v>1074</v>
      </c>
      <c r="C521" s="4" t="s">
        <v>1688</v>
      </c>
      <c r="D521" s="4">
        <v>10</v>
      </c>
      <c r="E521" s="6">
        <v>9</v>
      </c>
      <c r="F521" s="6">
        <v>57</v>
      </c>
      <c r="G521" s="6">
        <v>42</v>
      </c>
      <c r="H521" s="6">
        <v>227</v>
      </c>
      <c r="I521" s="6">
        <v>108</v>
      </c>
      <c r="J521" s="6">
        <v>155</v>
      </c>
      <c r="K521" s="6">
        <v>358</v>
      </c>
      <c r="L521" s="6">
        <v>161</v>
      </c>
      <c r="M521" s="6">
        <v>58</v>
      </c>
      <c r="N521" s="6">
        <v>157</v>
      </c>
      <c r="O521" s="6">
        <v>371</v>
      </c>
      <c r="P521" s="6">
        <v>321</v>
      </c>
      <c r="Q521" s="6">
        <v>304</v>
      </c>
      <c r="R521" s="6">
        <v>260</v>
      </c>
      <c r="S521" s="6">
        <v>212</v>
      </c>
      <c r="T521" s="6">
        <v>149</v>
      </c>
      <c r="U521" s="6">
        <v>324</v>
      </c>
      <c r="V521" s="6">
        <v>251</v>
      </c>
      <c r="W521" s="6">
        <v>247</v>
      </c>
      <c r="X521" s="6">
        <v>174</v>
      </c>
      <c r="Y521" s="6">
        <v>291</v>
      </c>
      <c r="Z521" s="6">
        <v>52</v>
      </c>
      <c r="AA521" s="6">
        <v>356</v>
      </c>
      <c r="AB521" s="6">
        <v>109</v>
      </c>
      <c r="AC521" s="6">
        <v>39</v>
      </c>
      <c r="AD521" s="6">
        <v>121</v>
      </c>
      <c r="AE521" s="6">
        <v>242</v>
      </c>
      <c r="AF521" s="6">
        <v>150</v>
      </c>
      <c r="AG521" s="6">
        <v>210</v>
      </c>
      <c r="AH521" s="6">
        <v>216</v>
      </c>
      <c r="AI521" s="6">
        <v>68</v>
      </c>
      <c r="AJ521" s="6">
        <v>356</v>
      </c>
      <c r="AK521" s="6">
        <v>229</v>
      </c>
      <c r="AL521" s="7">
        <v>6384</v>
      </c>
    </row>
    <row r="522" spans="1:38" ht="11.1" customHeight="1" x14ac:dyDescent="0.2">
      <c r="A522" s="4" t="s">
        <v>1075</v>
      </c>
      <c r="B522" s="4" t="s">
        <v>1076</v>
      </c>
      <c r="C522" s="4" t="s">
        <v>1689</v>
      </c>
      <c r="D522" s="4">
        <v>5</v>
      </c>
      <c r="E522" s="6">
        <v>4</v>
      </c>
      <c r="F522" s="6">
        <v>55</v>
      </c>
      <c r="G522" s="6">
        <v>23</v>
      </c>
      <c r="H522" s="6">
        <v>144</v>
      </c>
      <c r="I522" s="6">
        <v>134</v>
      </c>
      <c r="J522" s="6">
        <v>101</v>
      </c>
      <c r="K522" s="6">
        <v>126</v>
      </c>
      <c r="L522" s="6">
        <v>50</v>
      </c>
      <c r="M522" s="6">
        <v>79</v>
      </c>
      <c r="N522" s="6">
        <v>62</v>
      </c>
      <c r="O522" s="6">
        <v>106</v>
      </c>
      <c r="P522" s="6">
        <v>103</v>
      </c>
      <c r="Q522" s="6">
        <v>69</v>
      </c>
      <c r="R522" s="6">
        <v>270</v>
      </c>
      <c r="S522" s="6">
        <v>102</v>
      </c>
      <c r="T522" s="6">
        <v>105</v>
      </c>
      <c r="U522" s="6">
        <v>203</v>
      </c>
      <c r="V522" s="6">
        <v>110</v>
      </c>
      <c r="W522" s="6">
        <v>83</v>
      </c>
      <c r="X522" s="6">
        <v>113</v>
      </c>
      <c r="Y522" s="6">
        <v>80</v>
      </c>
      <c r="Z522" s="6">
        <v>112</v>
      </c>
      <c r="AA522" s="6">
        <v>65</v>
      </c>
      <c r="AB522" s="6">
        <v>107</v>
      </c>
      <c r="AC522" s="6">
        <v>23</v>
      </c>
      <c r="AD522" s="6">
        <v>112</v>
      </c>
      <c r="AE522" s="6">
        <v>84</v>
      </c>
      <c r="AF522" s="6">
        <v>156</v>
      </c>
      <c r="AG522" s="6">
        <v>35</v>
      </c>
      <c r="AH522" s="6">
        <v>71</v>
      </c>
      <c r="AI522" s="6">
        <v>57</v>
      </c>
      <c r="AJ522" s="6">
        <v>72</v>
      </c>
      <c r="AK522" s="6">
        <v>87</v>
      </c>
      <c r="AL522" s="7">
        <v>3103</v>
      </c>
    </row>
    <row r="523" spans="1:38" ht="11.1" customHeight="1" x14ac:dyDescent="0.2">
      <c r="A523" s="4" t="s">
        <v>1077</v>
      </c>
      <c r="B523" s="4" t="s">
        <v>1078</v>
      </c>
      <c r="C523" s="4" t="s">
        <v>1690</v>
      </c>
      <c r="D523" s="4">
        <v>5</v>
      </c>
      <c r="E523" s="5"/>
      <c r="F523" s="6">
        <v>15</v>
      </c>
      <c r="G523" s="6">
        <v>6</v>
      </c>
      <c r="H523" s="6">
        <v>62</v>
      </c>
      <c r="I523" s="6">
        <v>41</v>
      </c>
      <c r="J523" s="6">
        <v>39</v>
      </c>
      <c r="K523" s="6">
        <v>64</v>
      </c>
      <c r="L523" s="6">
        <v>23</v>
      </c>
      <c r="M523" s="6">
        <v>40</v>
      </c>
      <c r="N523" s="6">
        <v>60</v>
      </c>
      <c r="O523" s="6">
        <v>37</v>
      </c>
      <c r="P523" s="6">
        <v>71</v>
      </c>
      <c r="Q523" s="6">
        <v>44</v>
      </c>
      <c r="R523" s="6">
        <v>89</v>
      </c>
      <c r="S523" s="6">
        <v>52</v>
      </c>
      <c r="T523" s="6">
        <v>92</v>
      </c>
      <c r="U523" s="6">
        <v>49</v>
      </c>
      <c r="V523" s="6">
        <v>50</v>
      </c>
      <c r="W523" s="6">
        <v>27</v>
      </c>
      <c r="X523" s="6">
        <v>45</v>
      </c>
      <c r="Y523" s="6">
        <v>48</v>
      </c>
      <c r="Z523" s="6">
        <v>22</v>
      </c>
      <c r="AA523" s="6">
        <v>5</v>
      </c>
      <c r="AB523" s="6">
        <v>61</v>
      </c>
      <c r="AC523" s="6">
        <v>9</v>
      </c>
      <c r="AD523" s="6">
        <v>31</v>
      </c>
      <c r="AE523" s="6">
        <v>39</v>
      </c>
      <c r="AF523" s="6">
        <v>70</v>
      </c>
      <c r="AG523" s="6">
        <v>29</v>
      </c>
      <c r="AH523" s="6">
        <v>34</v>
      </c>
      <c r="AI523" s="6">
        <v>38</v>
      </c>
      <c r="AJ523" s="6">
        <v>31</v>
      </c>
      <c r="AK523" s="6">
        <v>22</v>
      </c>
      <c r="AL523" s="7">
        <v>1345</v>
      </c>
    </row>
    <row r="524" spans="1:38" ht="11.1" customHeight="1" x14ac:dyDescent="0.2">
      <c r="A524" s="4" t="s">
        <v>1079</v>
      </c>
      <c r="B524" s="4" t="s">
        <v>1080</v>
      </c>
      <c r="C524" s="4" t="s">
        <v>1691</v>
      </c>
      <c r="D524" s="4">
        <v>5</v>
      </c>
      <c r="E524" s="6">
        <v>3</v>
      </c>
      <c r="F524" s="6">
        <v>6</v>
      </c>
      <c r="G524" s="6">
        <v>5</v>
      </c>
      <c r="H524" s="6">
        <v>25</v>
      </c>
      <c r="I524" s="6">
        <v>18</v>
      </c>
      <c r="J524" s="6">
        <v>6</v>
      </c>
      <c r="K524" s="6">
        <v>11</v>
      </c>
      <c r="L524" s="6">
        <v>14</v>
      </c>
      <c r="M524" s="6">
        <v>5</v>
      </c>
      <c r="N524" s="6">
        <v>22</v>
      </c>
      <c r="O524" s="6">
        <v>16</v>
      </c>
      <c r="P524" s="6">
        <v>10</v>
      </c>
      <c r="Q524" s="6">
        <v>19</v>
      </c>
      <c r="R524" s="6">
        <v>23</v>
      </c>
      <c r="S524" s="6">
        <v>4</v>
      </c>
      <c r="T524" s="6">
        <v>17</v>
      </c>
      <c r="U524" s="6">
        <v>50</v>
      </c>
      <c r="V524" s="6">
        <v>24</v>
      </c>
      <c r="W524" s="6">
        <v>21</v>
      </c>
      <c r="X524" s="6">
        <v>36</v>
      </c>
      <c r="Y524" s="6">
        <v>11</v>
      </c>
      <c r="Z524" s="6">
        <v>8</v>
      </c>
      <c r="AA524" s="5"/>
      <c r="AB524" s="6">
        <v>20</v>
      </c>
      <c r="AC524" s="6">
        <v>1</v>
      </c>
      <c r="AD524" s="6">
        <v>10</v>
      </c>
      <c r="AE524" s="6">
        <v>13</v>
      </c>
      <c r="AF524" s="6">
        <v>16</v>
      </c>
      <c r="AG524" s="6">
        <v>19</v>
      </c>
      <c r="AH524" s="6">
        <v>12</v>
      </c>
      <c r="AI524" s="6">
        <v>17</v>
      </c>
      <c r="AJ524" s="6">
        <v>23</v>
      </c>
      <c r="AK524" s="6">
        <v>6</v>
      </c>
      <c r="AL524" s="6">
        <v>491</v>
      </c>
    </row>
    <row r="525" spans="1:38" ht="11.1" customHeight="1" x14ac:dyDescent="0.2">
      <c r="A525" s="4" t="s">
        <v>1081</v>
      </c>
      <c r="B525" s="4" t="s">
        <v>1082</v>
      </c>
      <c r="C525" s="4" t="s">
        <v>1692</v>
      </c>
      <c r="D525" s="4">
        <v>12</v>
      </c>
      <c r="E525" s="6">
        <v>8</v>
      </c>
      <c r="F525" s="6">
        <v>5</v>
      </c>
      <c r="G525" s="6">
        <v>37</v>
      </c>
      <c r="H525" s="6">
        <v>69</v>
      </c>
      <c r="I525" s="6">
        <v>20</v>
      </c>
      <c r="J525" s="6">
        <v>125</v>
      </c>
      <c r="K525" s="6">
        <v>132</v>
      </c>
      <c r="L525" s="6">
        <v>89</v>
      </c>
      <c r="M525" s="6">
        <v>134</v>
      </c>
      <c r="N525" s="6">
        <v>136</v>
      </c>
      <c r="O525" s="6">
        <v>211</v>
      </c>
      <c r="P525" s="6">
        <v>40</v>
      </c>
      <c r="Q525" s="6">
        <v>15</v>
      </c>
      <c r="R525" s="6">
        <v>138</v>
      </c>
      <c r="S525" s="6">
        <v>78</v>
      </c>
      <c r="T525" s="6">
        <v>70</v>
      </c>
      <c r="U525" s="6">
        <v>101</v>
      </c>
      <c r="V525" s="6">
        <v>60</v>
      </c>
      <c r="W525" s="6">
        <v>56</v>
      </c>
      <c r="X525" s="6">
        <v>44</v>
      </c>
      <c r="Y525" s="6">
        <v>83</v>
      </c>
      <c r="Z525" s="6">
        <v>138</v>
      </c>
      <c r="AA525" s="6">
        <v>160</v>
      </c>
      <c r="AB525" s="6">
        <v>121</v>
      </c>
      <c r="AC525" s="6">
        <v>97</v>
      </c>
      <c r="AD525" s="6">
        <v>101</v>
      </c>
      <c r="AE525" s="6">
        <v>40</v>
      </c>
      <c r="AF525" s="6">
        <v>62</v>
      </c>
      <c r="AG525" s="6">
        <v>53</v>
      </c>
      <c r="AH525" s="6">
        <v>104</v>
      </c>
      <c r="AI525" s="6">
        <v>37</v>
      </c>
      <c r="AJ525" s="6">
        <v>197</v>
      </c>
      <c r="AK525" s="6">
        <v>59</v>
      </c>
      <c r="AL525" s="7">
        <v>2820</v>
      </c>
    </row>
    <row r="526" spans="1:38" ht="11.1" customHeight="1" x14ac:dyDescent="0.2">
      <c r="A526" s="4" t="s">
        <v>1083</v>
      </c>
      <c r="B526" s="4" t="s">
        <v>1084</v>
      </c>
      <c r="C526" s="4" t="s">
        <v>1693</v>
      </c>
      <c r="D526" s="4">
        <v>5</v>
      </c>
      <c r="E526" s="6">
        <v>1</v>
      </c>
      <c r="F526" s="6">
        <v>2</v>
      </c>
      <c r="G526" s="6">
        <v>4</v>
      </c>
      <c r="H526" s="6">
        <v>5</v>
      </c>
      <c r="I526" s="6">
        <v>4</v>
      </c>
      <c r="J526" s="6">
        <v>1</v>
      </c>
      <c r="K526" s="6">
        <v>7</v>
      </c>
      <c r="L526" s="6">
        <v>3</v>
      </c>
      <c r="M526" s="6">
        <v>1</v>
      </c>
      <c r="N526" s="6">
        <v>13</v>
      </c>
      <c r="O526" s="6">
        <v>4</v>
      </c>
      <c r="P526" s="6">
        <v>2</v>
      </c>
      <c r="Q526" s="5"/>
      <c r="R526" s="6">
        <v>7</v>
      </c>
      <c r="S526" s="6">
        <v>2</v>
      </c>
      <c r="T526" s="6">
        <v>8</v>
      </c>
      <c r="U526" s="6">
        <v>5</v>
      </c>
      <c r="V526" s="6">
        <v>2</v>
      </c>
      <c r="W526" s="6">
        <v>6</v>
      </c>
      <c r="X526" s="6">
        <v>2</v>
      </c>
      <c r="Y526" s="6">
        <v>2</v>
      </c>
      <c r="Z526" s="6">
        <v>1</v>
      </c>
      <c r="AA526" s="6">
        <v>2</v>
      </c>
      <c r="AB526" s="5"/>
      <c r="AC526" s="5"/>
      <c r="AD526" s="6">
        <v>4</v>
      </c>
      <c r="AE526" s="5"/>
      <c r="AF526" s="6">
        <v>3</v>
      </c>
      <c r="AG526" s="5"/>
      <c r="AH526" s="5"/>
      <c r="AI526" s="6">
        <v>1</v>
      </c>
      <c r="AJ526" s="5"/>
      <c r="AK526" s="6">
        <v>1</v>
      </c>
      <c r="AL526" s="6">
        <v>93</v>
      </c>
    </row>
    <row r="527" spans="1:38" ht="11.1" customHeight="1" x14ac:dyDescent="0.2">
      <c r="A527" s="4" t="s">
        <v>1085</v>
      </c>
      <c r="B527" s="4" t="s">
        <v>1086</v>
      </c>
      <c r="C527" s="4" t="s">
        <v>1694</v>
      </c>
      <c r="D527" s="4">
        <v>12</v>
      </c>
      <c r="E527" s="5"/>
      <c r="F527" s="5"/>
      <c r="G527" s="5"/>
      <c r="H527" s="6">
        <v>25</v>
      </c>
      <c r="I527" s="6">
        <v>6</v>
      </c>
      <c r="J527" s="6">
        <v>11</v>
      </c>
      <c r="K527" s="6">
        <v>6</v>
      </c>
      <c r="L527" s="6">
        <v>6</v>
      </c>
      <c r="M527" s="6">
        <v>50</v>
      </c>
      <c r="N527" s="6">
        <v>27</v>
      </c>
      <c r="O527" s="6">
        <v>3</v>
      </c>
      <c r="P527" s="6">
        <v>5</v>
      </c>
      <c r="Q527" s="6">
        <v>4</v>
      </c>
      <c r="R527" s="6">
        <v>17</v>
      </c>
      <c r="S527" s="6">
        <v>37</v>
      </c>
      <c r="T527" s="6">
        <v>8</v>
      </c>
      <c r="U527" s="6">
        <v>13</v>
      </c>
      <c r="V527" s="6">
        <v>30</v>
      </c>
      <c r="W527" s="6">
        <v>25</v>
      </c>
      <c r="X527" s="6">
        <v>14</v>
      </c>
      <c r="Y527" s="6">
        <v>26</v>
      </c>
      <c r="Z527" s="6">
        <v>10</v>
      </c>
      <c r="AA527" s="6">
        <v>18</v>
      </c>
      <c r="AB527" s="6">
        <v>41</v>
      </c>
      <c r="AC527" s="6">
        <v>34</v>
      </c>
      <c r="AD527" s="6">
        <v>32</v>
      </c>
      <c r="AE527" s="6">
        <v>15</v>
      </c>
      <c r="AF527" s="6">
        <v>20</v>
      </c>
      <c r="AG527" s="6">
        <v>18</v>
      </c>
      <c r="AH527" s="6">
        <v>21</v>
      </c>
      <c r="AI527" s="6">
        <v>12</v>
      </c>
      <c r="AJ527" s="6">
        <v>24</v>
      </c>
      <c r="AK527" s="6">
        <v>7</v>
      </c>
      <c r="AL527" s="6">
        <v>565</v>
      </c>
    </row>
    <row r="528" spans="1:38" ht="11.1" customHeight="1" x14ac:dyDescent="0.2">
      <c r="A528" s="4" t="s">
        <v>1087</v>
      </c>
      <c r="B528" s="4" t="s">
        <v>1088</v>
      </c>
      <c r="C528" s="4" t="s">
        <v>1695</v>
      </c>
      <c r="D528" s="4">
        <v>5</v>
      </c>
      <c r="E528" s="6">
        <v>8</v>
      </c>
      <c r="F528" s="5"/>
      <c r="G528" s="6">
        <v>4</v>
      </c>
      <c r="H528" s="6">
        <v>16</v>
      </c>
      <c r="I528" s="6">
        <v>20</v>
      </c>
      <c r="J528" s="6">
        <v>14</v>
      </c>
      <c r="K528" s="6">
        <v>25</v>
      </c>
      <c r="L528" s="6">
        <v>8</v>
      </c>
      <c r="M528" s="6">
        <v>3</v>
      </c>
      <c r="N528" s="6">
        <v>14</v>
      </c>
      <c r="O528" s="6">
        <v>2</v>
      </c>
      <c r="P528" s="6">
        <v>36</v>
      </c>
      <c r="Q528" s="6">
        <v>17</v>
      </c>
      <c r="R528" s="6">
        <v>27</v>
      </c>
      <c r="S528" s="6">
        <v>5</v>
      </c>
      <c r="T528" s="6">
        <v>46</v>
      </c>
      <c r="U528" s="6">
        <v>16</v>
      </c>
      <c r="V528" s="6">
        <v>36</v>
      </c>
      <c r="W528" s="6">
        <v>30</v>
      </c>
      <c r="X528" s="6">
        <v>-15</v>
      </c>
      <c r="Y528" s="6">
        <v>11</v>
      </c>
      <c r="Z528" s="6">
        <v>6</v>
      </c>
      <c r="AA528" s="6">
        <v>17</v>
      </c>
      <c r="AB528" s="6">
        <v>11</v>
      </c>
      <c r="AC528" s="6">
        <v>9</v>
      </c>
      <c r="AD528" s="6">
        <v>30</v>
      </c>
      <c r="AE528" s="6">
        <v>2</v>
      </c>
      <c r="AF528" s="6">
        <v>24</v>
      </c>
      <c r="AG528" s="6">
        <v>20</v>
      </c>
      <c r="AH528" s="6">
        <v>17</v>
      </c>
      <c r="AI528" s="6">
        <v>7</v>
      </c>
      <c r="AJ528" s="6">
        <v>11</v>
      </c>
      <c r="AK528" s="6">
        <v>2</v>
      </c>
      <c r="AL528" s="6">
        <v>479</v>
      </c>
    </row>
    <row r="529" spans="1:38" ht="11.1" customHeight="1" x14ac:dyDescent="0.2">
      <c r="A529" s="4" t="s">
        <v>1089</v>
      </c>
      <c r="B529" s="4" t="s">
        <v>1090</v>
      </c>
      <c r="C529" s="4" t="s">
        <v>1696</v>
      </c>
      <c r="D529" s="4">
        <v>5</v>
      </c>
      <c r="E529" s="5"/>
      <c r="F529" s="6">
        <v>2</v>
      </c>
      <c r="G529" s="5"/>
      <c r="H529" s="6">
        <v>62</v>
      </c>
      <c r="I529" s="6">
        <v>23</v>
      </c>
      <c r="J529" s="6">
        <v>8</v>
      </c>
      <c r="K529" s="6">
        <v>125</v>
      </c>
      <c r="L529" s="6">
        <v>51</v>
      </c>
      <c r="M529" s="6">
        <v>15</v>
      </c>
      <c r="N529" s="6">
        <v>71</v>
      </c>
      <c r="O529" s="6">
        <v>44</v>
      </c>
      <c r="P529" s="6">
        <v>85</v>
      </c>
      <c r="Q529" s="6">
        <v>40</v>
      </c>
      <c r="R529" s="6">
        <v>58</v>
      </c>
      <c r="S529" s="6">
        <v>70</v>
      </c>
      <c r="T529" s="6">
        <v>58</v>
      </c>
      <c r="U529" s="6">
        <v>100</v>
      </c>
      <c r="V529" s="6">
        <v>110</v>
      </c>
      <c r="W529" s="6">
        <v>39</v>
      </c>
      <c r="X529" s="6">
        <v>86</v>
      </c>
      <c r="Y529" s="6">
        <v>118</v>
      </c>
      <c r="Z529" s="6">
        <v>50</v>
      </c>
      <c r="AA529" s="6">
        <v>14</v>
      </c>
      <c r="AB529" s="6">
        <v>15</v>
      </c>
      <c r="AC529" s="6">
        <v>7</v>
      </c>
      <c r="AD529" s="6">
        <v>22</v>
      </c>
      <c r="AE529" s="6">
        <v>9</v>
      </c>
      <c r="AF529" s="6">
        <v>77</v>
      </c>
      <c r="AG529" s="6">
        <v>54</v>
      </c>
      <c r="AH529" s="6">
        <v>78</v>
      </c>
      <c r="AI529" s="6">
        <v>45</v>
      </c>
      <c r="AJ529" s="6">
        <v>23</v>
      </c>
      <c r="AK529" s="6">
        <v>83</v>
      </c>
      <c r="AL529" s="7">
        <v>1642</v>
      </c>
    </row>
    <row r="530" spans="1:38" ht="11.1" customHeight="1" x14ac:dyDescent="0.2">
      <c r="A530" s="4" t="s">
        <v>1091</v>
      </c>
      <c r="B530" s="4" t="s">
        <v>1092</v>
      </c>
      <c r="C530" s="4" t="s">
        <v>1697</v>
      </c>
      <c r="D530" s="4">
        <v>12</v>
      </c>
      <c r="E530" s="6">
        <v>17</v>
      </c>
      <c r="F530" s="6">
        <v>39</v>
      </c>
      <c r="G530" s="6">
        <v>61</v>
      </c>
      <c r="H530" s="6">
        <v>57</v>
      </c>
      <c r="I530" s="6">
        <v>63</v>
      </c>
      <c r="J530" s="6">
        <v>124</v>
      </c>
      <c r="K530" s="6">
        <v>183</v>
      </c>
      <c r="L530" s="6">
        <v>181</v>
      </c>
      <c r="M530" s="6">
        <v>195</v>
      </c>
      <c r="N530" s="6">
        <v>104</v>
      </c>
      <c r="O530" s="6">
        <v>117</v>
      </c>
      <c r="P530" s="6">
        <v>89</v>
      </c>
      <c r="Q530" s="6">
        <v>22</v>
      </c>
      <c r="R530" s="6">
        <v>119</v>
      </c>
      <c r="S530" s="6">
        <v>103</v>
      </c>
      <c r="T530" s="6">
        <v>68</v>
      </c>
      <c r="U530" s="6">
        <v>89</v>
      </c>
      <c r="V530" s="6">
        <v>158</v>
      </c>
      <c r="W530" s="6">
        <v>98</v>
      </c>
      <c r="X530" s="6">
        <v>99</v>
      </c>
      <c r="Y530" s="6">
        <v>82</v>
      </c>
      <c r="Z530" s="6">
        <v>269</v>
      </c>
      <c r="AA530" s="6">
        <v>72</v>
      </c>
      <c r="AB530" s="6">
        <v>64</v>
      </c>
      <c r="AC530" s="6">
        <v>58</v>
      </c>
      <c r="AD530" s="6">
        <v>96</v>
      </c>
      <c r="AE530" s="6">
        <v>87</v>
      </c>
      <c r="AF530" s="6">
        <v>76</v>
      </c>
      <c r="AG530" s="6">
        <v>285</v>
      </c>
      <c r="AH530" s="6">
        <v>162</v>
      </c>
      <c r="AI530" s="6">
        <v>70</v>
      </c>
      <c r="AJ530" s="6">
        <v>202</v>
      </c>
      <c r="AK530" s="6">
        <v>289</v>
      </c>
      <c r="AL530" s="7">
        <v>3798</v>
      </c>
    </row>
    <row r="531" spans="1:38" ht="11.1" customHeight="1" x14ac:dyDescent="0.2">
      <c r="A531" s="4" t="s">
        <v>1093</v>
      </c>
      <c r="B531" s="4" t="s">
        <v>1094</v>
      </c>
      <c r="C531" s="4" t="s">
        <v>1698</v>
      </c>
      <c r="D531" s="4">
        <v>6</v>
      </c>
      <c r="E531" s="6">
        <v>47</v>
      </c>
      <c r="F531" s="6">
        <v>23</v>
      </c>
      <c r="G531" s="6">
        <v>6</v>
      </c>
      <c r="H531" s="6">
        <v>8</v>
      </c>
      <c r="I531" s="6">
        <v>195</v>
      </c>
      <c r="J531" s="6">
        <v>41</v>
      </c>
      <c r="K531" s="6">
        <v>104</v>
      </c>
      <c r="L531" s="6">
        <v>35</v>
      </c>
      <c r="M531" s="6">
        <v>161</v>
      </c>
      <c r="N531" s="6">
        <v>84</v>
      </c>
      <c r="O531" s="6">
        <v>39</v>
      </c>
      <c r="P531" s="6">
        <v>58</v>
      </c>
      <c r="Q531" s="6">
        <v>32</v>
      </c>
      <c r="R531" s="6">
        <v>79</v>
      </c>
      <c r="S531" s="6">
        <v>96</v>
      </c>
      <c r="T531" s="6">
        <v>112</v>
      </c>
      <c r="U531" s="6">
        <v>58</v>
      </c>
      <c r="V531" s="6">
        <v>52</v>
      </c>
      <c r="W531" s="6">
        <v>101</v>
      </c>
      <c r="X531" s="6">
        <v>136</v>
      </c>
      <c r="Y531" s="6">
        <v>96</v>
      </c>
      <c r="Z531" s="6">
        <v>70</v>
      </c>
      <c r="AA531" s="6">
        <v>173</v>
      </c>
      <c r="AB531" s="6">
        <v>77</v>
      </c>
      <c r="AC531" s="6">
        <v>30</v>
      </c>
      <c r="AD531" s="6">
        <v>78</v>
      </c>
      <c r="AE531" s="6">
        <v>61</v>
      </c>
      <c r="AF531" s="6">
        <v>87</v>
      </c>
      <c r="AG531" s="6">
        <v>86</v>
      </c>
      <c r="AH531" s="6">
        <v>50</v>
      </c>
      <c r="AI531" s="6">
        <v>53</v>
      </c>
      <c r="AJ531" s="6">
        <v>101</v>
      </c>
      <c r="AK531" s="6">
        <v>120</v>
      </c>
      <c r="AL531" s="7">
        <v>2549</v>
      </c>
    </row>
    <row r="532" spans="1:38" ht="11.1" customHeight="1" x14ac:dyDescent="0.2">
      <c r="A532" s="4" t="s">
        <v>1095</v>
      </c>
      <c r="B532" s="4" t="s">
        <v>1096</v>
      </c>
      <c r="C532" s="4" t="s">
        <v>1699</v>
      </c>
      <c r="D532" s="4">
        <v>12</v>
      </c>
      <c r="E532" s="6">
        <v>33</v>
      </c>
      <c r="F532" s="6">
        <v>16</v>
      </c>
      <c r="G532" s="6">
        <v>8</v>
      </c>
      <c r="H532" s="6">
        <v>40</v>
      </c>
      <c r="I532" s="6">
        <v>29</v>
      </c>
      <c r="J532" s="6">
        <v>30</v>
      </c>
      <c r="K532" s="6">
        <v>18</v>
      </c>
      <c r="L532" s="6">
        <v>44</v>
      </c>
      <c r="M532" s="6">
        <v>39</v>
      </c>
      <c r="N532" s="6">
        <v>111</v>
      </c>
      <c r="O532" s="6">
        <v>47</v>
      </c>
      <c r="P532" s="6">
        <v>55</v>
      </c>
      <c r="Q532" s="6">
        <v>56</v>
      </c>
      <c r="R532" s="6">
        <v>34</v>
      </c>
      <c r="S532" s="6">
        <v>47</v>
      </c>
      <c r="T532" s="6">
        <v>22</v>
      </c>
      <c r="U532" s="6">
        <v>119</v>
      </c>
      <c r="V532" s="6">
        <v>39</v>
      </c>
      <c r="W532" s="6">
        <v>67</v>
      </c>
      <c r="X532" s="6">
        <v>72</v>
      </c>
      <c r="Y532" s="6">
        <v>54</v>
      </c>
      <c r="Z532" s="6">
        <v>89</v>
      </c>
      <c r="AA532" s="6">
        <v>103</v>
      </c>
      <c r="AB532" s="6">
        <v>147</v>
      </c>
      <c r="AC532" s="6">
        <v>70</v>
      </c>
      <c r="AD532" s="6">
        <v>46</v>
      </c>
      <c r="AE532" s="6">
        <v>68</v>
      </c>
      <c r="AF532" s="6">
        <v>60</v>
      </c>
      <c r="AG532" s="6">
        <v>108</v>
      </c>
      <c r="AH532" s="6">
        <v>196</v>
      </c>
      <c r="AI532" s="6">
        <v>78</v>
      </c>
      <c r="AJ532" s="6">
        <v>59</v>
      </c>
      <c r="AK532" s="6">
        <v>92</v>
      </c>
      <c r="AL532" s="7">
        <v>2096</v>
      </c>
    </row>
    <row r="533" spans="1:38" ht="11.1" customHeight="1" x14ac:dyDescent="0.2">
      <c r="A533" s="4" t="s">
        <v>1097</v>
      </c>
      <c r="B533" s="4" t="s">
        <v>1098</v>
      </c>
      <c r="C533" s="4" t="s">
        <v>1700</v>
      </c>
      <c r="D533" s="4">
        <v>6</v>
      </c>
      <c r="E533" s="6">
        <v>1</v>
      </c>
      <c r="F533" s="5"/>
      <c r="G533" s="5"/>
      <c r="H533" s="6">
        <v>1</v>
      </c>
      <c r="I533" s="6">
        <v>4</v>
      </c>
      <c r="J533" s="6">
        <v>3</v>
      </c>
      <c r="K533" s="6">
        <v>3</v>
      </c>
      <c r="L533" s="6">
        <v>1</v>
      </c>
      <c r="M533" s="6">
        <v>1</v>
      </c>
      <c r="N533" s="6">
        <v>1</v>
      </c>
      <c r="O533" s="6">
        <v>2</v>
      </c>
      <c r="P533" s="5"/>
      <c r="Q533" s="5"/>
      <c r="R533" s="6">
        <v>1</v>
      </c>
      <c r="S533" s="6">
        <v>1</v>
      </c>
      <c r="T533" s="5"/>
      <c r="U533" s="6">
        <v>1</v>
      </c>
      <c r="V533" s="6">
        <v>1</v>
      </c>
      <c r="W533" s="6">
        <v>1</v>
      </c>
      <c r="X533" s="5"/>
      <c r="Y533" s="6">
        <v>7</v>
      </c>
      <c r="Z533" s="6">
        <v>1</v>
      </c>
      <c r="AA533" s="5"/>
      <c r="AB533" s="5"/>
      <c r="AC533" s="5"/>
      <c r="AD533" s="6">
        <v>1</v>
      </c>
      <c r="AE533" s="5"/>
      <c r="AF533" s="6">
        <v>1</v>
      </c>
      <c r="AG533" s="5"/>
      <c r="AH533" s="5"/>
      <c r="AI533" s="5"/>
      <c r="AJ533" s="6">
        <v>1</v>
      </c>
      <c r="AK533" s="6">
        <v>21</v>
      </c>
      <c r="AL533" s="6">
        <v>54</v>
      </c>
    </row>
    <row r="534" spans="1:38" ht="11.1" customHeight="1" x14ac:dyDescent="0.2">
      <c r="A534" s="4" t="s">
        <v>1099</v>
      </c>
      <c r="B534" s="4" t="s">
        <v>1100</v>
      </c>
      <c r="C534" s="4" t="s">
        <v>1701</v>
      </c>
      <c r="D534" s="4">
        <v>6</v>
      </c>
      <c r="E534" s="6">
        <v>1</v>
      </c>
      <c r="F534" s="5"/>
      <c r="G534" s="5"/>
      <c r="H534" s="6">
        <v>1</v>
      </c>
      <c r="I534" s="6">
        <v>6</v>
      </c>
      <c r="J534" s="6">
        <v>8</v>
      </c>
      <c r="K534" s="6">
        <v>21</v>
      </c>
      <c r="L534" s="6">
        <v>4</v>
      </c>
      <c r="M534" s="5"/>
      <c r="N534" s="6">
        <v>5</v>
      </c>
      <c r="O534" s="6">
        <v>10</v>
      </c>
      <c r="P534" s="6">
        <v>1</v>
      </c>
      <c r="Q534" s="6">
        <v>2</v>
      </c>
      <c r="R534" s="6">
        <v>1</v>
      </c>
      <c r="S534" s="6">
        <v>1</v>
      </c>
      <c r="T534" s="6">
        <v>4</v>
      </c>
      <c r="U534" s="6">
        <v>4</v>
      </c>
      <c r="V534" s="6">
        <v>6</v>
      </c>
      <c r="W534" s="6">
        <v>1</v>
      </c>
      <c r="X534" s="6">
        <v>9</v>
      </c>
      <c r="Y534" s="6">
        <v>10</v>
      </c>
      <c r="Z534" s="6">
        <v>9</v>
      </c>
      <c r="AA534" s="6">
        <v>1</v>
      </c>
      <c r="AB534" s="6">
        <v>1</v>
      </c>
      <c r="AC534" s="6">
        <v>1</v>
      </c>
      <c r="AD534" s="6">
        <v>1</v>
      </c>
      <c r="AE534" s="6">
        <v>2</v>
      </c>
      <c r="AF534" s="5"/>
      <c r="AG534" s="6">
        <v>1</v>
      </c>
      <c r="AH534" s="6">
        <v>9</v>
      </c>
      <c r="AI534" s="6">
        <v>2</v>
      </c>
      <c r="AJ534" s="6">
        <v>1</v>
      </c>
      <c r="AK534" s="6">
        <v>2</v>
      </c>
      <c r="AL534" s="6">
        <v>125</v>
      </c>
    </row>
    <row r="535" spans="1:38" ht="11.1" customHeight="1" x14ac:dyDescent="0.2">
      <c r="A535" s="4" t="s">
        <v>1101</v>
      </c>
      <c r="B535" s="4" t="s">
        <v>1102</v>
      </c>
      <c r="C535" s="4" t="s">
        <v>1702</v>
      </c>
      <c r="D535" s="4">
        <v>12</v>
      </c>
      <c r="E535" s="6">
        <v>39</v>
      </c>
      <c r="F535" s="6">
        <v>11</v>
      </c>
      <c r="G535" s="6">
        <v>22</v>
      </c>
      <c r="H535" s="6">
        <v>34</v>
      </c>
      <c r="I535" s="6">
        <v>67</v>
      </c>
      <c r="J535" s="6">
        <v>36</v>
      </c>
      <c r="K535" s="6">
        <v>95</v>
      </c>
      <c r="L535" s="6">
        <v>104</v>
      </c>
      <c r="M535" s="6">
        <v>39</v>
      </c>
      <c r="N535" s="6">
        <v>48</v>
      </c>
      <c r="O535" s="6">
        <v>46</v>
      </c>
      <c r="P535" s="6">
        <v>24</v>
      </c>
      <c r="Q535" s="6">
        <v>28</v>
      </c>
      <c r="R535" s="6">
        <v>42</v>
      </c>
      <c r="S535" s="6">
        <v>36</v>
      </c>
      <c r="T535" s="6">
        <v>41</v>
      </c>
      <c r="U535" s="6">
        <v>62</v>
      </c>
      <c r="V535" s="6">
        <v>49</v>
      </c>
      <c r="W535" s="6">
        <v>128</v>
      </c>
      <c r="X535" s="6">
        <v>43</v>
      </c>
      <c r="Y535" s="6">
        <v>43</v>
      </c>
      <c r="Z535" s="6">
        <v>28</v>
      </c>
      <c r="AA535" s="6">
        <v>93</v>
      </c>
      <c r="AB535" s="6">
        <v>52</v>
      </c>
      <c r="AC535" s="6">
        <v>24</v>
      </c>
      <c r="AD535" s="6">
        <v>19</v>
      </c>
      <c r="AE535" s="6">
        <v>29</v>
      </c>
      <c r="AF535" s="6">
        <v>51</v>
      </c>
      <c r="AG535" s="6">
        <v>14</v>
      </c>
      <c r="AH535" s="6">
        <v>55</v>
      </c>
      <c r="AI535" s="6">
        <v>55</v>
      </c>
      <c r="AJ535" s="6">
        <v>56</v>
      </c>
      <c r="AK535" s="6">
        <v>53</v>
      </c>
      <c r="AL535" s="7">
        <v>1566</v>
      </c>
    </row>
    <row r="536" spans="1:38" ht="11.1" customHeight="1" x14ac:dyDescent="0.2">
      <c r="A536" s="4" t="s">
        <v>1103</v>
      </c>
      <c r="B536" s="4" t="s">
        <v>1104</v>
      </c>
      <c r="C536" s="4" t="s">
        <v>1703</v>
      </c>
      <c r="D536" s="4">
        <v>12</v>
      </c>
      <c r="E536" s="6">
        <v>7</v>
      </c>
      <c r="F536" s="6">
        <v>10</v>
      </c>
      <c r="G536" s="6">
        <v>23</v>
      </c>
      <c r="H536" s="6">
        <v>36</v>
      </c>
      <c r="I536" s="6">
        <v>48</v>
      </c>
      <c r="J536" s="6">
        <v>18</v>
      </c>
      <c r="K536" s="6">
        <v>31</v>
      </c>
      <c r="L536" s="6">
        <v>25</v>
      </c>
      <c r="M536" s="6">
        <v>16</v>
      </c>
      <c r="N536" s="6">
        <v>22</v>
      </c>
      <c r="O536" s="6">
        <v>20</v>
      </c>
      <c r="P536" s="6">
        <v>20</v>
      </c>
      <c r="Q536" s="6">
        <v>3</v>
      </c>
      <c r="R536" s="6">
        <v>18</v>
      </c>
      <c r="S536" s="6">
        <v>10</v>
      </c>
      <c r="T536" s="6">
        <v>31</v>
      </c>
      <c r="U536" s="6">
        <v>30</v>
      </c>
      <c r="V536" s="6">
        <v>14</v>
      </c>
      <c r="W536" s="6">
        <v>26</v>
      </c>
      <c r="X536" s="6">
        <v>20</v>
      </c>
      <c r="Y536" s="6">
        <v>35</v>
      </c>
      <c r="Z536" s="6">
        <v>18</v>
      </c>
      <c r="AA536" s="6">
        <v>24</v>
      </c>
      <c r="AB536" s="6">
        <v>14</v>
      </c>
      <c r="AC536" s="6">
        <v>5</v>
      </c>
      <c r="AD536" s="6">
        <v>2</v>
      </c>
      <c r="AE536" s="6">
        <v>19</v>
      </c>
      <c r="AF536" s="6">
        <v>23</v>
      </c>
      <c r="AG536" s="6">
        <v>24</v>
      </c>
      <c r="AH536" s="6">
        <v>8</v>
      </c>
      <c r="AI536" s="6">
        <v>12</v>
      </c>
      <c r="AJ536" s="6">
        <v>25</v>
      </c>
      <c r="AK536" s="6">
        <v>37</v>
      </c>
      <c r="AL536" s="6">
        <v>674</v>
      </c>
    </row>
    <row r="537" spans="1:38" ht="11.1" customHeight="1" x14ac:dyDescent="0.2">
      <c r="A537" s="4" t="s">
        <v>1105</v>
      </c>
      <c r="B537" s="4" t="s">
        <v>1106</v>
      </c>
      <c r="C537" s="4" t="s">
        <v>1704</v>
      </c>
      <c r="D537" s="4">
        <v>12</v>
      </c>
      <c r="E537" s="6">
        <v>28</v>
      </c>
      <c r="F537" s="6">
        <v>28</v>
      </c>
      <c r="G537" s="6">
        <v>12</v>
      </c>
      <c r="H537" s="6">
        <v>23</v>
      </c>
      <c r="I537" s="6">
        <v>98</v>
      </c>
      <c r="J537" s="6">
        <v>31</v>
      </c>
      <c r="K537" s="6">
        <v>96</v>
      </c>
      <c r="L537" s="6">
        <v>86</v>
      </c>
      <c r="M537" s="6">
        <v>91</v>
      </c>
      <c r="N537" s="6">
        <v>152</v>
      </c>
      <c r="O537" s="6">
        <v>69</v>
      </c>
      <c r="P537" s="6">
        <v>86</v>
      </c>
      <c r="Q537" s="6">
        <v>41</v>
      </c>
      <c r="R537" s="6">
        <v>67</v>
      </c>
      <c r="S537" s="6">
        <v>65</v>
      </c>
      <c r="T537" s="6">
        <v>54</v>
      </c>
      <c r="U537" s="6">
        <v>126</v>
      </c>
      <c r="V537" s="6">
        <v>45</v>
      </c>
      <c r="W537" s="6">
        <v>98</v>
      </c>
      <c r="X537" s="6">
        <v>56</v>
      </c>
      <c r="Y537" s="6">
        <v>41</v>
      </c>
      <c r="Z537" s="6">
        <v>83</v>
      </c>
      <c r="AA537" s="6">
        <v>165</v>
      </c>
      <c r="AB537" s="6">
        <v>91</v>
      </c>
      <c r="AC537" s="6">
        <v>56</v>
      </c>
      <c r="AD537" s="6">
        <v>33</v>
      </c>
      <c r="AE537" s="6">
        <v>38</v>
      </c>
      <c r="AF537" s="6">
        <v>103</v>
      </c>
      <c r="AG537" s="6">
        <v>78</v>
      </c>
      <c r="AH537" s="6">
        <v>138</v>
      </c>
      <c r="AI537" s="6">
        <v>63</v>
      </c>
      <c r="AJ537" s="6">
        <v>164</v>
      </c>
      <c r="AK537" s="6">
        <v>60</v>
      </c>
      <c r="AL537" s="7">
        <v>2465</v>
      </c>
    </row>
    <row r="538" spans="1:38" ht="11.1" customHeight="1" x14ac:dyDescent="0.2">
      <c r="A538" s="4" t="s">
        <v>1107</v>
      </c>
      <c r="B538" s="4" t="s">
        <v>1108</v>
      </c>
      <c r="C538" s="4" t="s">
        <v>1705</v>
      </c>
      <c r="D538" s="4">
        <v>6</v>
      </c>
      <c r="E538" s="6">
        <v>52</v>
      </c>
      <c r="F538" s="6">
        <v>74</v>
      </c>
      <c r="G538" s="6">
        <v>14</v>
      </c>
      <c r="H538" s="6">
        <v>27</v>
      </c>
      <c r="I538" s="6">
        <v>106</v>
      </c>
      <c r="J538" s="6">
        <v>53</v>
      </c>
      <c r="K538" s="6">
        <v>152</v>
      </c>
      <c r="L538" s="6">
        <v>135</v>
      </c>
      <c r="M538" s="6">
        <v>204</v>
      </c>
      <c r="N538" s="6">
        <v>65</v>
      </c>
      <c r="O538" s="6">
        <v>69</v>
      </c>
      <c r="P538" s="6">
        <v>147</v>
      </c>
      <c r="Q538" s="6">
        <v>32</v>
      </c>
      <c r="R538" s="6">
        <v>84</v>
      </c>
      <c r="S538" s="6">
        <v>119</v>
      </c>
      <c r="T538" s="6">
        <v>38</v>
      </c>
      <c r="U538" s="6">
        <v>58</v>
      </c>
      <c r="V538" s="6">
        <v>107</v>
      </c>
      <c r="W538" s="6">
        <v>63</v>
      </c>
      <c r="X538" s="6">
        <v>60</v>
      </c>
      <c r="Y538" s="6">
        <v>91</v>
      </c>
      <c r="Z538" s="6">
        <v>96</v>
      </c>
      <c r="AA538" s="6">
        <v>45</v>
      </c>
      <c r="AB538" s="6">
        <v>147</v>
      </c>
      <c r="AC538" s="6">
        <v>69</v>
      </c>
      <c r="AD538" s="6">
        <v>52</v>
      </c>
      <c r="AE538" s="6">
        <v>30</v>
      </c>
      <c r="AF538" s="6">
        <v>56</v>
      </c>
      <c r="AG538" s="6">
        <v>32</v>
      </c>
      <c r="AH538" s="6">
        <v>81</v>
      </c>
      <c r="AI538" s="6">
        <v>50</v>
      </c>
      <c r="AJ538" s="6">
        <v>101</v>
      </c>
      <c r="AK538" s="6">
        <v>68</v>
      </c>
      <c r="AL538" s="7">
        <v>2577</v>
      </c>
    </row>
    <row r="539" spans="1:38" ht="11.1" customHeight="1" x14ac:dyDescent="0.2">
      <c r="A539" s="4" t="s">
        <v>1109</v>
      </c>
      <c r="B539" s="4" t="s">
        <v>1110</v>
      </c>
      <c r="C539" s="4" t="s">
        <v>1706</v>
      </c>
      <c r="D539" s="4">
        <v>12</v>
      </c>
      <c r="E539" s="6">
        <v>3</v>
      </c>
      <c r="F539" s="6">
        <v>12</v>
      </c>
      <c r="G539" s="6">
        <v>5</v>
      </c>
      <c r="H539" s="6">
        <v>12</v>
      </c>
      <c r="I539" s="6">
        <v>9</v>
      </c>
      <c r="J539" s="6">
        <v>9</v>
      </c>
      <c r="K539" s="6">
        <v>20</v>
      </c>
      <c r="L539" s="6">
        <v>8</v>
      </c>
      <c r="M539" s="6">
        <v>9</v>
      </c>
      <c r="N539" s="6">
        <v>6</v>
      </c>
      <c r="O539" s="6">
        <v>7</v>
      </c>
      <c r="P539" s="6">
        <v>17</v>
      </c>
      <c r="Q539" s="6">
        <v>4</v>
      </c>
      <c r="R539" s="6">
        <v>2</v>
      </c>
      <c r="S539" s="6">
        <v>29</v>
      </c>
      <c r="T539" s="6">
        <v>16</v>
      </c>
      <c r="U539" s="6">
        <v>45</v>
      </c>
      <c r="V539" s="6">
        <v>13</v>
      </c>
      <c r="W539" s="6">
        <v>22</v>
      </c>
      <c r="X539" s="6">
        <v>17</v>
      </c>
      <c r="Y539" s="6">
        <v>37</v>
      </c>
      <c r="Z539" s="6">
        <v>25</v>
      </c>
      <c r="AA539" s="6">
        <v>34</v>
      </c>
      <c r="AB539" s="6">
        <v>45</v>
      </c>
      <c r="AC539" s="6">
        <v>12</v>
      </c>
      <c r="AD539" s="6">
        <v>4</v>
      </c>
      <c r="AE539" s="6">
        <v>20</v>
      </c>
      <c r="AF539" s="6">
        <v>20</v>
      </c>
      <c r="AG539" s="6">
        <v>16</v>
      </c>
      <c r="AH539" s="6">
        <v>56</v>
      </c>
      <c r="AI539" s="6">
        <v>24</v>
      </c>
      <c r="AJ539" s="6">
        <v>13</v>
      </c>
      <c r="AK539" s="6">
        <v>5</v>
      </c>
      <c r="AL539" s="6">
        <v>576</v>
      </c>
    </row>
    <row r="540" spans="1:38" ht="11.1" customHeight="1" x14ac:dyDescent="0.2">
      <c r="A540" s="4" t="s">
        <v>1111</v>
      </c>
      <c r="B540" s="4" t="s">
        <v>1112</v>
      </c>
      <c r="C540" s="4" t="s">
        <v>1707</v>
      </c>
      <c r="D540" s="4">
        <v>6</v>
      </c>
      <c r="E540" s="6">
        <v>4</v>
      </c>
      <c r="F540" s="5"/>
      <c r="G540" s="6">
        <v>1</v>
      </c>
      <c r="H540" s="6">
        <v>5</v>
      </c>
      <c r="I540" s="6">
        <v>1</v>
      </c>
      <c r="J540" s="6">
        <v>4</v>
      </c>
      <c r="K540" s="6">
        <v>2</v>
      </c>
      <c r="L540" s="6">
        <v>6</v>
      </c>
      <c r="M540" s="6">
        <v>4</v>
      </c>
      <c r="N540" s="6">
        <v>3</v>
      </c>
      <c r="O540" s="6">
        <v>8</v>
      </c>
      <c r="P540" s="6">
        <v>4</v>
      </c>
      <c r="Q540" s="5"/>
      <c r="R540" s="6">
        <v>1</v>
      </c>
      <c r="S540" s="5"/>
      <c r="T540" s="6">
        <v>6</v>
      </c>
      <c r="U540" s="6">
        <v>7</v>
      </c>
      <c r="V540" s="6">
        <v>11</v>
      </c>
      <c r="W540" s="6">
        <v>7</v>
      </c>
      <c r="X540" s="6">
        <v>1</v>
      </c>
      <c r="Y540" s="6">
        <v>13</v>
      </c>
      <c r="Z540" s="6">
        <v>3</v>
      </c>
      <c r="AA540" s="6">
        <v>4</v>
      </c>
      <c r="AB540" s="6">
        <v>4</v>
      </c>
      <c r="AC540" s="6">
        <v>1</v>
      </c>
      <c r="AD540" s="5"/>
      <c r="AE540" s="5"/>
      <c r="AF540" s="6">
        <v>3</v>
      </c>
      <c r="AG540" s="6">
        <v>1</v>
      </c>
      <c r="AH540" s="6">
        <v>4</v>
      </c>
      <c r="AI540" s="6">
        <v>5</v>
      </c>
      <c r="AJ540" s="6">
        <v>5</v>
      </c>
      <c r="AK540" s="6">
        <v>8</v>
      </c>
      <c r="AL540" s="6">
        <v>126</v>
      </c>
    </row>
    <row r="541" spans="1:38" ht="11.1" customHeight="1" x14ac:dyDescent="0.2">
      <c r="A541" s="4" t="s">
        <v>1113</v>
      </c>
      <c r="B541" s="4" t="s">
        <v>1114</v>
      </c>
      <c r="C541" s="4" t="s">
        <v>1708</v>
      </c>
      <c r="D541" s="4">
        <v>6</v>
      </c>
      <c r="E541" s="6">
        <v>5</v>
      </c>
      <c r="F541" s="5"/>
      <c r="G541" s="5"/>
      <c r="H541" s="6">
        <v>3</v>
      </c>
      <c r="I541" s="6">
        <v>1</v>
      </c>
      <c r="J541" s="6">
        <v>2</v>
      </c>
      <c r="K541" s="6">
        <v>7</v>
      </c>
      <c r="L541" s="6">
        <v>3</v>
      </c>
      <c r="M541" s="6">
        <v>14</v>
      </c>
      <c r="N541" s="6">
        <v>5</v>
      </c>
      <c r="O541" s="6">
        <v>7</v>
      </c>
      <c r="P541" s="6">
        <v>3</v>
      </c>
      <c r="Q541" s="6">
        <v>3</v>
      </c>
      <c r="R541" s="6">
        <v>9</v>
      </c>
      <c r="S541" s="6">
        <v>2</v>
      </c>
      <c r="T541" s="6">
        <v>3</v>
      </c>
      <c r="U541" s="6">
        <v>5</v>
      </c>
      <c r="V541" s="6">
        <v>9</v>
      </c>
      <c r="W541" s="6">
        <v>10</v>
      </c>
      <c r="X541" s="6">
        <v>17</v>
      </c>
      <c r="Y541" s="6">
        <v>8</v>
      </c>
      <c r="Z541" s="6">
        <v>19</v>
      </c>
      <c r="AA541" s="6">
        <v>4</v>
      </c>
      <c r="AB541" s="6">
        <v>4</v>
      </c>
      <c r="AC541" s="6">
        <v>12</v>
      </c>
      <c r="AD541" s="6">
        <v>3</v>
      </c>
      <c r="AE541" s="6">
        <v>1</v>
      </c>
      <c r="AF541" s="6">
        <v>9</v>
      </c>
      <c r="AG541" s="6">
        <v>9</v>
      </c>
      <c r="AH541" s="6">
        <v>13</v>
      </c>
      <c r="AI541" s="6">
        <v>8</v>
      </c>
      <c r="AJ541" s="6">
        <v>3</v>
      </c>
      <c r="AK541" s="6">
        <v>3</v>
      </c>
      <c r="AL541" s="6">
        <v>204</v>
      </c>
    </row>
    <row r="542" spans="1:38" ht="11.1" customHeight="1" x14ac:dyDescent="0.2">
      <c r="A542" s="4" t="s">
        <v>1115</v>
      </c>
      <c r="B542" s="4" t="s">
        <v>1116</v>
      </c>
      <c r="C542" s="4" t="s">
        <v>1185</v>
      </c>
      <c r="D542" s="4">
        <v>2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6">
        <v>6</v>
      </c>
      <c r="AK542" s="5"/>
      <c r="AL542" s="6">
        <v>6</v>
      </c>
    </row>
    <row r="543" spans="1:38" ht="23.1" customHeight="1" x14ac:dyDescent="0.2">
      <c r="A543" s="4" t="s">
        <v>1117</v>
      </c>
      <c r="B543" s="4" t="s">
        <v>1118</v>
      </c>
      <c r="C543" s="4" t="s">
        <v>1709</v>
      </c>
      <c r="D543" s="4">
        <v>150</v>
      </c>
      <c r="E543" s="6">
        <v>20</v>
      </c>
      <c r="F543" s="6">
        <v>1</v>
      </c>
      <c r="G543" s="6">
        <v>30</v>
      </c>
      <c r="H543" s="6">
        <v>197</v>
      </c>
      <c r="I543" s="6">
        <v>551</v>
      </c>
      <c r="J543" s="6">
        <v>44</v>
      </c>
      <c r="K543" s="6">
        <v>223</v>
      </c>
      <c r="L543" s="6">
        <v>369</v>
      </c>
      <c r="M543" s="6">
        <v>373</v>
      </c>
      <c r="N543" s="6">
        <v>544</v>
      </c>
      <c r="O543" s="6">
        <v>60</v>
      </c>
      <c r="P543" s="6">
        <v>118</v>
      </c>
      <c r="Q543" s="7">
        <v>1325</v>
      </c>
      <c r="R543" s="6">
        <v>231</v>
      </c>
      <c r="S543" s="6">
        <v>265</v>
      </c>
      <c r="T543" s="6">
        <v>177</v>
      </c>
      <c r="U543" s="6">
        <v>30</v>
      </c>
      <c r="V543" s="6">
        <v>44</v>
      </c>
      <c r="W543" s="6">
        <v>19</v>
      </c>
      <c r="X543" s="6">
        <v>149</v>
      </c>
      <c r="Y543" s="6">
        <v>10</v>
      </c>
      <c r="Z543" s="6">
        <v>228</v>
      </c>
      <c r="AA543" s="6">
        <v>77</v>
      </c>
      <c r="AB543" s="6">
        <v>307</v>
      </c>
      <c r="AC543" s="6">
        <v>176</v>
      </c>
      <c r="AD543" s="6">
        <v>222</v>
      </c>
      <c r="AE543" s="6">
        <v>98</v>
      </c>
      <c r="AF543" s="6">
        <v>200</v>
      </c>
      <c r="AG543" s="6">
        <v>35</v>
      </c>
      <c r="AH543" s="6">
        <v>2</v>
      </c>
      <c r="AI543" s="6">
        <v>4</v>
      </c>
      <c r="AJ543" s="6">
        <v>189</v>
      </c>
      <c r="AK543" s="6">
        <v>76</v>
      </c>
      <c r="AL543" s="7">
        <v>6394</v>
      </c>
    </row>
    <row r="544" spans="1:38" ht="23.1" customHeight="1" x14ac:dyDescent="0.2">
      <c r="A544" s="4" t="s">
        <v>1119</v>
      </c>
      <c r="B544" s="4" t="s">
        <v>1120</v>
      </c>
      <c r="C544" s="4" t="s">
        <v>1710</v>
      </c>
      <c r="D544" s="4">
        <v>96</v>
      </c>
      <c r="E544" s="5"/>
      <c r="F544" s="6">
        <v>53</v>
      </c>
      <c r="G544" s="6">
        <v>372</v>
      </c>
      <c r="H544" s="7">
        <v>1805</v>
      </c>
      <c r="I544" s="7">
        <v>1513</v>
      </c>
      <c r="J544" s="6">
        <v>857</v>
      </c>
      <c r="K544" s="7">
        <v>1425</v>
      </c>
      <c r="L544" s="7">
        <v>2503</v>
      </c>
      <c r="M544" s="7">
        <v>2890</v>
      </c>
      <c r="N544" s="7">
        <v>1100</v>
      </c>
      <c r="O544" s="7">
        <v>1475</v>
      </c>
      <c r="P544" s="6">
        <v>769</v>
      </c>
      <c r="Q544" s="6">
        <v>608</v>
      </c>
      <c r="R544" s="7">
        <v>1248</v>
      </c>
      <c r="S544" s="7">
        <v>1626</v>
      </c>
      <c r="T544" s="6">
        <v>755</v>
      </c>
      <c r="U544" s="7">
        <v>1276</v>
      </c>
      <c r="V544" s="6">
        <v>659</v>
      </c>
      <c r="W544" s="7">
        <v>1375</v>
      </c>
      <c r="X544" s="6">
        <v>894</v>
      </c>
      <c r="Y544" s="6">
        <v>986</v>
      </c>
      <c r="Z544" s="7">
        <v>2235</v>
      </c>
      <c r="AA544" s="7">
        <v>1437</v>
      </c>
      <c r="AB544" s="6">
        <v>244</v>
      </c>
      <c r="AC544" s="7">
        <v>1163</v>
      </c>
      <c r="AD544" s="7">
        <v>1766</v>
      </c>
      <c r="AE544" s="6">
        <v>597</v>
      </c>
      <c r="AF544" s="7">
        <v>1092</v>
      </c>
      <c r="AG544" s="6">
        <v>339</v>
      </c>
      <c r="AH544" s="6">
        <v>510</v>
      </c>
      <c r="AI544" s="6">
        <v>641</v>
      </c>
      <c r="AJ544" s="6">
        <v>969</v>
      </c>
      <c r="AK544" s="6">
        <v>746</v>
      </c>
      <c r="AL544" s="7">
        <v>35928</v>
      </c>
    </row>
    <row r="545" spans="1:38" ht="23.1" customHeight="1" x14ac:dyDescent="0.2">
      <c r="A545" s="4" t="s">
        <v>1121</v>
      </c>
      <c r="B545" s="4" t="s">
        <v>1122</v>
      </c>
      <c r="C545" s="4" t="s">
        <v>1711</v>
      </c>
      <c r="D545" s="4">
        <v>96</v>
      </c>
      <c r="E545" s="6">
        <v>288</v>
      </c>
      <c r="F545" s="6">
        <v>270</v>
      </c>
      <c r="G545" s="6">
        <v>35</v>
      </c>
      <c r="H545" s="6">
        <v>273</v>
      </c>
      <c r="I545" s="6">
        <v>98</v>
      </c>
      <c r="J545" s="6">
        <v>395</v>
      </c>
      <c r="K545" s="6">
        <v>744</v>
      </c>
      <c r="L545" s="6">
        <v>370</v>
      </c>
      <c r="M545" s="6">
        <v>69</v>
      </c>
      <c r="N545" s="6">
        <v>434</v>
      </c>
      <c r="O545" s="6">
        <v>147</v>
      </c>
      <c r="P545" s="6">
        <v>319</v>
      </c>
      <c r="Q545" s="6">
        <v>32</v>
      </c>
      <c r="R545" s="6">
        <v>115</v>
      </c>
      <c r="S545" s="6">
        <v>157</v>
      </c>
      <c r="T545" s="6">
        <v>41</v>
      </c>
      <c r="U545" s="6">
        <v>281</v>
      </c>
      <c r="V545" s="6">
        <v>155</v>
      </c>
      <c r="W545" s="6">
        <v>366</v>
      </c>
      <c r="X545" s="6">
        <v>331</v>
      </c>
      <c r="Y545" s="6">
        <v>82</v>
      </c>
      <c r="Z545" s="6">
        <v>246</v>
      </c>
      <c r="AA545" s="6">
        <v>248</v>
      </c>
      <c r="AB545" s="6">
        <v>573</v>
      </c>
      <c r="AC545" s="6">
        <v>358</v>
      </c>
      <c r="AD545" s="6">
        <v>142</v>
      </c>
      <c r="AE545" s="6">
        <v>159</v>
      </c>
      <c r="AF545" s="6">
        <v>172</v>
      </c>
      <c r="AG545" s="6">
        <v>163</v>
      </c>
      <c r="AH545" s="6">
        <v>131</v>
      </c>
      <c r="AI545" s="6">
        <v>712</v>
      </c>
      <c r="AJ545" s="6">
        <v>330</v>
      </c>
      <c r="AK545" s="6">
        <v>77</v>
      </c>
      <c r="AL545" s="7">
        <v>8313</v>
      </c>
    </row>
    <row r="546" spans="1:38" ht="23.1" customHeight="1" x14ac:dyDescent="0.2">
      <c r="A546" s="4" t="s">
        <v>1123</v>
      </c>
      <c r="B546" s="4" t="s">
        <v>1124</v>
      </c>
      <c r="C546" s="4" t="s">
        <v>1712</v>
      </c>
      <c r="D546" s="4">
        <v>72</v>
      </c>
      <c r="E546" s="6">
        <v>275</v>
      </c>
      <c r="F546" s="6">
        <v>120</v>
      </c>
      <c r="G546" s="6">
        <v>403</v>
      </c>
      <c r="H546" s="7">
        <v>1304</v>
      </c>
      <c r="I546" s="7">
        <v>2845</v>
      </c>
      <c r="J546" s="7">
        <v>1098</v>
      </c>
      <c r="K546" s="7">
        <v>1332</v>
      </c>
      <c r="L546" s="7">
        <v>1723</v>
      </c>
      <c r="M546" s="7">
        <v>2447</v>
      </c>
      <c r="N546" s="7">
        <v>1884</v>
      </c>
      <c r="O546" s="7">
        <v>2808</v>
      </c>
      <c r="P546" s="7">
        <v>1501</v>
      </c>
      <c r="Q546" s="7">
        <v>1536</v>
      </c>
      <c r="R546" s="7">
        <v>1463</v>
      </c>
      <c r="S546" s="6">
        <v>611</v>
      </c>
      <c r="T546" s="7">
        <v>1011</v>
      </c>
      <c r="U546" s="6">
        <v>968</v>
      </c>
      <c r="V546" s="7">
        <v>1535</v>
      </c>
      <c r="W546" s="6">
        <v>818</v>
      </c>
      <c r="X546" s="6">
        <v>777</v>
      </c>
      <c r="Y546" s="7">
        <v>2648</v>
      </c>
      <c r="Z546" s="7">
        <v>1369</v>
      </c>
      <c r="AA546" s="7">
        <v>3541</v>
      </c>
      <c r="AB546" s="6">
        <v>715</v>
      </c>
      <c r="AC546" s="7">
        <v>1119</v>
      </c>
      <c r="AD546" s="6">
        <v>131</v>
      </c>
      <c r="AE546" s="6">
        <v>464</v>
      </c>
      <c r="AF546" s="7">
        <v>3164</v>
      </c>
      <c r="AG546" s="7">
        <v>1614</v>
      </c>
      <c r="AH546" s="7">
        <v>1940</v>
      </c>
      <c r="AI546" s="7">
        <v>1797</v>
      </c>
      <c r="AJ546" s="7">
        <v>1778</v>
      </c>
      <c r="AK546" s="7">
        <v>1943</v>
      </c>
      <c r="AL546" s="7">
        <v>48682</v>
      </c>
    </row>
    <row r="547" spans="1:38" ht="23.1" customHeight="1" x14ac:dyDescent="0.2">
      <c r="A547" s="4" t="s">
        <v>1125</v>
      </c>
      <c r="B547" s="4" t="s">
        <v>1126</v>
      </c>
      <c r="C547" s="4" t="s">
        <v>1713</v>
      </c>
      <c r="D547" s="4">
        <v>45</v>
      </c>
      <c r="E547" s="7">
        <v>1905</v>
      </c>
      <c r="F547" s="6">
        <v>811</v>
      </c>
      <c r="G547" s="6">
        <v>783</v>
      </c>
      <c r="H547" s="7">
        <v>2655</v>
      </c>
      <c r="I547" s="7">
        <v>2207</v>
      </c>
      <c r="J547" s="7">
        <v>3014</v>
      </c>
      <c r="K547" s="7">
        <v>3116</v>
      </c>
      <c r="L547" s="7">
        <v>2156</v>
      </c>
      <c r="M547" s="7">
        <v>4425</v>
      </c>
      <c r="N547" s="7">
        <v>6432</v>
      </c>
      <c r="O547" s="7">
        <v>3277</v>
      </c>
      <c r="P547" s="7">
        <v>1683</v>
      </c>
      <c r="Q547" s="7">
        <v>3263</v>
      </c>
      <c r="R547" s="7">
        <v>4090</v>
      </c>
      <c r="S547" s="7">
        <v>2687</v>
      </c>
      <c r="T547" s="7">
        <v>2457</v>
      </c>
      <c r="U547" s="7">
        <v>3608</v>
      </c>
      <c r="V547" s="7">
        <v>2529</v>
      </c>
      <c r="W547" s="7">
        <v>3060</v>
      </c>
      <c r="X547" s="7">
        <v>2794</v>
      </c>
      <c r="Y547" s="7">
        <v>2142</v>
      </c>
      <c r="Z547" s="7">
        <v>2209</v>
      </c>
      <c r="AA547" s="7">
        <v>1422</v>
      </c>
      <c r="AB547" s="7">
        <v>2041</v>
      </c>
      <c r="AC547" s="7">
        <v>2656</v>
      </c>
      <c r="AD547" s="7">
        <v>2117</v>
      </c>
      <c r="AE547" s="7">
        <v>1858</v>
      </c>
      <c r="AF547" s="7">
        <v>3325</v>
      </c>
      <c r="AG547" s="7">
        <v>1528</v>
      </c>
      <c r="AH547" s="7">
        <v>2836</v>
      </c>
      <c r="AI547" s="7">
        <v>3179</v>
      </c>
      <c r="AJ547" s="7">
        <v>2076</v>
      </c>
      <c r="AK547" s="7">
        <v>1850</v>
      </c>
      <c r="AL547" s="7">
        <v>86191</v>
      </c>
    </row>
    <row r="548" spans="1:38" ht="23.1" customHeight="1" x14ac:dyDescent="0.2">
      <c r="A548" s="4" t="s">
        <v>1127</v>
      </c>
      <c r="B548" s="4" t="s">
        <v>1128</v>
      </c>
      <c r="C548" s="4" t="s">
        <v>1714</v>
      </c>
      <c r="D548" s="4">
        <v>120</v>
      </c>
      <c r="E548" s="6">
        <v>35</v>
      </c>
      <c r="F548" s="7">
        <v>2362</v>
      </c>
      <c r="G548" s="7">
        <v>1192</v>
      </c>
      <c r="H548" s="6">
        <v>535</v>
      </c>
      <c r="I548" s="7">
        <v>2003</v>
      </c>
      <c r="J548" s="7">
        <v>2526</v>
      </c>
      <c r="K548" s="7">
        <v>1987</v>
      </c>
      <c r="L548" s="7">
        <v>2365</v>
      </c>
      <c r="M548" s="7">
        <v>1130</v>
      </c>
      <c r="N548" s="7">
        <v>3116</v>
      </c>
      <c r="O548" s="6">
        <v>658</v>
      </c>
      <c r="P548" s="7">
        <v>1073</v>
      </c>
      <c r="Q548" s="7">
        <v>1929</v>
      </c>
      <c r="R548" s="7">
        <v>2137</v>
      </c>
      <c r="S548" s="7">
        <v>2141</v>
      </c>
      <c r="T548" s="7">
        <v>1710</v>
      </c>
      <c r="U548" s="7">
        <v>1909</v>
      </c>
      <c r="V548" s="7">
        <v>2086</v>
      </c>
      <c r="W548" s="6">
        <v>851</v>
      </c>
      <c r="X548" s="7">
        <v>1713</v>
      </c>
      <c r="Y548" s="7">
        <v>1184</v>
      </c>
      <c r="Z548" s="7">
        <v>1886</v>
      </c>
      <c r="AA548" s="7">
        <v>1538</v>
      </c>
      <c r="AB548" s="6">
        <v>593</v>
      </c>
      <c r="AC548" s="7">
        <v>2144</v>
      </c>
      <c r="AD548" s="7">
        <v>2164</v>
      </c>
      <c r="AE548" s="7">
        <v>2358</v>
      </c>
      <c r="AF548" s="7">
        <v>3003</v>
      </c>
      <c r="AG548" s="7">
        <v>2330</v>
      </c>
      <c r="AH548" s="7">
        <v>1434</v>
      </c>
      <c r="AI548" s="6">
        <v>941</v>
      </c>
      <c r="AJ548" s="6">
        <v>547</v>
      </c>
      <c r="AK548" s="6">
        <v>674</v>
      </c>
      <c r="AL548" s="7">
        <v>54254</v>
      </c>
    </row>
    <row r="549" spans="1:38" ht="23.1" customHeight="1" x14ac:dyDescent="0.2">
      <c r="A549" s="4" t="s">
        <v>1129</v>
      </c>
      <c r="B549" s="4" t="s">
        <v>1130</v>
      </c>
      <c r="C549" s="4" t="s">
        <v>1715</v>
      </c>
      <c r="D549" s="4">
        <v>72</v>
      </c>
      <c r="E549" s="6">
        <v>3</v>
      </c>
      <c r="F549" s="6">
        <v>519</v>
      </c>
      <c r="G549" s="6">
        <v>580</v>
      </c>
      <c r="H549" s="6">
        <v>643</v>
      </c>
      <c r="I549" s="6">
        <v>719</v>
      </c>
      <c r="J549" s="7">
        <v>1174</v>
      </c>
      <c r="K549" s="6">
        <v>697</v>
      </c>
      <c r="L549" s="6">
        <v>412</v>
      </c>
      <c r="M549" s="7">
        <v>1056</v>
      </c>
      <c r="N549" s="7">
        <v>1142</v>
      </c>
      <c r="O549" s="6">
        <v>721</v>
      </c>
      <c r="P549" s="6">
        <v>745</v>
      </c>
      <c r="Q549" s="7">
        <v>1166</v>
      </c>
      <c r="R549" s="6">
        <v>835</v>
      </c>
      <c r="S549" s="6">
        <v>443</v>
      </c>
      <c r="T549" s="7">
        <v>1150</v>
      </c>
      <c r="U549" s="6">
        <v>341</v>
      </c>
      <c r="V549" s="6">
        <v>868</v>
      </c>
      <c r="W549" s="6">
        <v>711</v>
      </c>
      <c r="X549" s="7">
        <v>1541</v>
      </c>
      <c r="Y549" s="6">
        <v>836</v>
      </c>
      <c r="Z549" s="6">
        <v>737</v>
      </c>
      <c r="AA549" s="6">
        <v>222</v>
      </c>
      <c r="AB549" s="6">
        <v>700</v>
      </c>
      <c r="AC549" s="6">
        <v>388</v>
      </c>
      <c r="AD549" s="6">
        <v>542</v>
      </c>
      <c r="AE549" s="6">
        <v>243</v>
      </c>
      <c r="AF549" s="6">
        <v>576</v>
      </c>
      <c r="AG549" s="6">
        <v>244</v>
      </c>
      <c r="AH549" s="6">
        <v>445</v>
      </c>
      <c r="AI549" s="6">
        <v>640</v>
      </c>
      <c r="AJ549" s="6">
        <v>313</v>
      </c>
      <c r="AK549" s="6">
        <v>226</v>
      </c>
      <c r="AL549" s="7">
        <v>21578</v>
      </c>
    </row>
    <row r="550" spans="1:38" ht="11.1" customHeight="1" x14ac:dyDescent="0.2">
      <c r="A550" s="4" t="s">
        <v>1131</v>
      </c>
      <c r="B550" s="4" t="s">
        <v>1132</v>
      </c>
      <c r="C550" s="4" t="s">
        <v>1186</v>
      </c>
      <c r="D550" s="4">
        <v>6</v>
      </c>
      <c r="E550" s="5"/>
      <c r="F550" s="5"/>
      <c r="G550" s="5"/>
      <c r="H550" s="5"/>
      <c r="I550" s="5"/>
      <c r="J550" s="5"/>
      <c r="K550" s="5"/>
      <c r="L550" s="5"/>
      <c r="M550" s="6">
        <v>3</v>
      </c>
      <c r="N550" s="5"/>
      <c r="O550" s="5"/>
      <c r="P550" s="6">
        <v>1</v>
      </c>
      <c r="Q550" s="6">
        <v>4</v>
      </c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6">
        <v>8</v>
      </c>
    </row>
    <row r="551" spans="1:38" ht="11.1" customHeight="1" x14ac:dyDescent="0.2">
      <c r="A551" s="4" t="s">
        <v>1133</v>
      </c>
      <c r="B551" s="4" t="s">
        <v>1134</v>
      </c>
      <c r="C551" s="4" t="s">
        <v>1134</v>
      </c>
      <c r="D551" s="4">
        <v>10</v>
      </c>
      <c r="E551" s="5"/>
      <c r="F551" s="6">
        <v>7</v>
      </c>
      <c r="G551" s="6">
        <v>7</v>
      </c>
      <c r="H551" s="6">
        <v>2</v>
      </c>
      <c r="I551" s="6">
        <v>8</v>
      </c>
      <c r="J551" s="6">
        <v>10</v>
      </c>
      <c r="K551" s="6">
        <v>12</v>
      </c>
      <c r="L551" s="6">
        <v>34</v>
      </c>
      <c r="M551" s="6">
        <v>10</v>
      </c>
      <c r="N551" s="5"/>
      <c r="O551" s="6">
        <v>8</v>
      </c>
      <c r="P551" s="6">
        <v>7</v>
      </c>
      <c r="Q551" s="6">
        <v>3</v>
      </c>
      <c r="R551" s="6">
        <v>6</v>
      </c>
      <c r="S551" s="5"/>
      <c r="T551" s="6">
        <v>4</v>
      </c>
      <c r="U551" s="6">
        <v>3</v>
      </c>
      <c r="V551" s="6">
        <v>24</v>
      </c>
      <c r="W551" s="6">
        <v>4</v>
      </c>
      <c r="X551" s="6">
        <v>13</v>
      </c>
      <c r="Y551" s="6">
        <v>8</v>
      </c>
      <c r="Z551" s="5"/>
      <c r="AA551" s="6">
        <v>1</v>
      </c>
      <c r="AB551" s="6">
        <v>6</v>
      </c>
      <c r="AC551" s="6">
        <v>5</v>
      </c>
      <c r="AD551" s="5"/>
      <c r="AE551" s="5"/>
      <c r="AF551" s="6">
        <v>7</v>
      </c>
      <c r="AG551" s="6">
        <v>2</v>
      </c>
      <c r="AH551" s="6">
        <v>5</v>
      </c>
      <c r="AI551" s="6">
        <v>1</v>
      </c>
      <c r="AJ551" s="5"/>
      <c r="AK551" s="5"/>
      <c r="AL551" s="6">
        <v>197</v>
      </c>
    </row>
    <row r="552" spans="1:38" ht="11.1" customHeight="1" x14ac:dyDescent="0.2">
      <c r="A552" s="4" t="s">
        <v>1135</v>
      </c>
      <c r="B552" s="4" t="s">
        <v>1136</v>
      </c>
      <c r="C552" s="4" t="s">
        <v>1136</v>
      </c>
      <c r="D552" s="4">
        <v>5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6">
        <v>4</v>
      </c>
      <c r="R552" s="5"/>
      <c r="S552" s="5"/>
      <c r="T552" s="5"/>
      <c r="U552" s="5"/>
      <c r="V552" s="5"/>
      <c r="W552" s="5"/>
      <c r="X552" s="6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6">
        <v>5</v>
      </c>
    </row>
    <row r="553" spans="1:38" ht="11.1" customHeight="1" x14ac:dyDescent="0.2">
      <c r="A553" s="4" t="s">
        <v>1137</v>
      </c>
      <c r="B553" s="4" t="s">
        <v>1138</v>
      </c>
      <c r="C553" s="4" t="s">
        <v>1716</v>
      </c>
      <c r="D553" s="4">
        <v>140</v>
      </c>
      <c r="E553" s="5"/>
      <c r="F553" s="6">
        <v>36</v>
      </c>
      <c r="G553" s="6">
        <v>100</v>
      </c>
      <c r="H553" s="6">
        <v>453</v>
      </c>
      <c r="I553" s="6">
        <v>154</v>
      </c>
      <c r="J553" s="6">
        <v>174</v>
      </c>
      <c r="K553" s="7">
        <v>1286</v>
      </c>
      <c r="L553" s="6">
        <v>189</v>
      </c>
      <c r="M553" s="6">
        <v>647</v>
      </c>
      <c r="N553" s="6">
        <v>744</v>
      </c>
      <c r="O553" s="6">
        <v>853</v>
      </c>
      <c r="P553" s="6">
        <v>423</v>
      </c>
      <c r="Q553" s="6">
        <v>477</v>
      </c>
      <c r="R553" s="6">
        <v>147</v>
      </c>
      <c r="S553" s="6">
        <v>153</v>
      </c>
      <c r="T553" s="6">
        <v>57</v>
      </c>
      <c r="U553" s="7">
        <v>1010</v>
      </c>
      <c r="V553" s="6">
        <v>125</v>
      </c>
      <c r="W553" s="6">
        <v>239</v>
      </c>
      <c r="X553" s="6">
        <v>920</v>
      </c>
      <c r="Y553" s="6">
        <v>270</v>
      </c>
      <c r="Z553" s="6">
        <v>264</v>
      </c>
      <c r="AA553" s="6">
        <v>104</v>
      </c>
      <c r="AB553" s="6">
        <v>949</v>
      </c>
      <c r="AC553" s="6">
        <v>147</v>
      </c>
      <c r="AD553" s="6">
        <v>212</v>
      </c>
      <c r="AE553" s="5"/>
      <c r="AF553" s="6">
        <v>75</v>
      </c>
      <c r="AG553" s="6">
        <v>765</v>
      </c>
      <c r="AH553" s="6">
        <v>286</v>
      </c>
      <c r="AI553" s="6">
        <v>450</v>
      </c>
      <c r="AJ553" s="6">
        <v>479</v>
      </c>
      <c r="AK553" s="6">
        <v>5</v>
      </c>
      <c r="AL553" s="7">
        <v>12193</v>
      </c>
    </row>
    <row r="554" spans="1:38" ht="11.1" customHeight="1" x14ac:dyDescent="0.2">
      <c r="A554" s="4" t="s">
        <v>1139</v>
      </c>
      <c r="B554" s="4" t="s">
        <v>1140</v>
      </c>
      <c r="C554" s="4" t="s">
        <v>1717</v>
      </c>
      <c r="D554" s="4">
        <v>140</v>
      </c>
      <c r="E554" s="6">
        <v>351</v>
      </c>
      <c r="F554" s="6">
        <v>276</v>
      </c>
      <c r="G554" s="6">
        <v>408</v>
      </c>
      <c r="H554" s="6">
        <v>773</v>
      </c>
      <c r="I554" s="6">
        <v>225</v>
      </c>
      <c r="J554" s="7">
        <v>1034</v>
      </c>
      <c r="K554" s="7">
        <v>2931</v>
      </c>
      <c r="L554" s="6">
        <v>626</v>
      </c>
      <c r="M554" s="6">
        <v>580</v>
      </c>
      <c r="N554" s="6">
        <v>661</v>
      </c>
      <c r="O554" s="6">
        <v>697</v>
      </c>
      <c r="P554" s="6">
        <v>61</v>
      </c>
      <c r="Q554" s="6">
        <v>41</v>
      </c>
      <c r="R554" s="7">
        <v>1245</v>
      </c>
      <c r="S554" s="6">
        <v>142</v>
      </c>
      <c r="T554" s="6">
        <v>305</v>
      </c>
      <c r="U554" s="7">
        <v>1024</v>
      </c>
      <c r="V554" s="6">
        <v>185</v>
      </c>
      <c r="W554" s="6">
        <v>494</v>
      </c>
      <c r="X554" s="6">
        <v>849</v>
      </c>
      <c r="Y554" s="7">
        <v>1344</v>
      </c>
      <c r="Z554" s="7">
        <v>1479</v>
      </c>
      <c r="AA554" s="6">
        <v>420</v>
      </c>
      <c r="AB554" s="6">
        <v>176</v>
      </c>
      <c r="AC554" s="6">
        <v>689</v>
      </c>
      <c r="AD554" s="6">
        <v>207</v>
      </c>
      <c r="AE554" s="6">
        <v>65</v>
      </c>
      <c r="AF554" s="6">
        <v>94</v>
      </c>
      <c r="AG554" s="6">
        <v>105</v>
      </c>
      <c r="AH554" s="7">
        <v>2233</v>
      </c>
      <c r="AI554" s="6">
        <v>275</v>
      </c>
      <c r="AJ554" s="6">
        <v>9</v>
      </c>
      <c r="AK554" s="5"/>
      <c r="AL554" s="7">
        <v>20004</v>
      </c>
    </row>
    <row r="555" spans="1:38" ht="11.1" customHeight="1" x14ac:dyDescent="0.2">
      <c r="A555" s="4" t="s">
        <v>1141</v>
      </c>
      <c r="B555" s="4" t="s">
        <v>1142</v>
      </c>
      <c r="C555" s="4" t="s">
        <v>1718</v>
      </c>
      <c r="D555" s="4">
        <v>140</v>
      </c>
      <c r="E555" s="6">
        <v>203</v>
      </c>
      <c r="F555" s="6">
        <v>591</v>
      </c>
      <c r="G555" s="6">
        <v>50</v>
      </c>
      <c r="H555" s="6">
        <v>186</v>
      </c>
      <c r="I555" s="6">
        <v>290</v>
      </c>
      <c r="J555" s="7">
        <v>1550</v>
      </c>
      <c r="K555" s="7">
        <v>-1310</v>
      </c>
      <c r="L555" s="6">
        <v>95</v>
      </c>
      <c r="M555" s="6">
        <v>656</v>
      </c>
      <c r="N555" s="6">
        <v>322</v>
      </c>
      <c r="O555" s="6">
        <v>15</v>
      </c>
      <c r="P555" s="6">
        <v>265</v>
      </c>
      <c r="Q555" s="6">
        <v>84</v>
      </c>
      <c r="R555" s="6">
        <v>295</v>
      </c>
      <c r="S555" s="6">
        <v>32</v>
      </c>
      <c r="T555" s="6">
        <v>669</v>
      </c>
      <c r="U555" s="6">
        <v>444</v>
      </c>
      <c r="V555" s="6">
        <v>94</v>
      </c>
      <c r="W555" s="6">
        <v>183</v>
      </c>
      <c r="X555" s="6">
        <v>170</v>
      </c>
      <c r="Y555" s="6">
        <v>202</v>
      </c>
      <c r="Z555" s="5"/>
      <c r="AA555" s="6">
        <v>100</v>
      </c>
      <c r="AB555" s="6">
        <v>524</v>
      </c>
      <c r="AC555" s="6">
        <v>-253</v>
      </c>
      <c r="AD555" s="5"/>
      <c r="AE555" s="6">
        <v>95</v>
      </c>
      <c r="AF555" s="6">
        <v>182</v>
      </c>
      <c r="AG555" s="6">
        <v>30</v>
      </c>
      <c r="AH555" s="5"/>
      <c r="AI555" s="6">
        <v>134</v>
      </c>
      <c r="AJ555" s="6">
        <v>388</v>
      </c>
      <c r="AK555" s="6">
        <v>187</v>
      </c>
      <c r="AL555" s="7">
        <v>6473</v>
      </c>
    </row>
    <row r="556" spans="1:38" ht="11.1" customHeight="1" x14ac:dyDescent="0.2">
      <c r="A556" s="4" t="s">
        <v>1143</v>
      </c>
      <c r="B556" s="4" t="s">
        <v>1144</v>
      </c>
      <c r="C556" s="4" t="s">
        <v>1719</v>
      </c>
      <c r="D556" s="4">
        <v>900</v>
      </c>
      <c r="E556" s="5"/>
      <c r="F556" s="6">
        <v>50</v>
      </c>
      <c r="G556" s="6">
        <v>99</v>
      </c>
      <c r="H556" s="7">
        <v>1097</v>
      </c>
      <c r="I556" s="7">
        <v>1290</v>
      </c>
      <c r="J556" s="6">
        <v>162</v>
      </c>
      <c r="K556" s="7">
        <v>1451</v>
      </c>
      <c r="L556" s="7">
        <v>1640</v>
      </c>
      <c r="M556" s="7">
        <v>1747</v>
      </c>
      <c r="N556" s="7">
        <v>1662</v>
      </c>
      <c r="O556" s="7">
        <v>2162</v>
      </c>
      <c r="P556" s="7">
        <v>1967</v>
      </c>
      <c r="Q556" s="7">
        <v>1052</v>
      </c>
      <c r="R556" s="7">
        <v>1387</v>
      </c>
      <c r="S556" s="7">
        <v>1844</v>
      </c>
      <c r="T556" s="7">
        <v>1132</v>
      </c>
      <c r="U556" s="7">
        <v>1609</v>
      </c>
      <c r="V556" s="6">
        <v>917</v>
      </c>
      <c r="W556" s="6">
        <v>880</v>
      </c>
      <c r="X556" s="7">
        <v>1683</v>
      </c>
      <c r="Y556" s="7">
        <v>1392</v>
      </c>
      <c r="Z556" s="7">
        <v>1336</v>
      </c>
      <c r="AA556" s="6">
        <v>791</v>
      </c>
      <c r="AB556" s="7">
        <v>1016</v>
      </c>
      <c r="AC556" s="6">
        <v>857</v>
      </c>
      <c r="AD556" s="7">
        <v>1330</v>
      </c>
      <c r="AE556" s="7">
        <v>2589</v>
      </c>
      <c r="AF556" s="7">
        <v>2790</v>
      </c>
      <c r="AG556" s="7">
        <v>1865</v>
      </c>
      <c r="AH556" s="7">
        <v>2840</v>
      </c>
      <c r="AI556" s="7">
        <v>6016</v>
      </c>
      <c r="AJ556" s="7">
        <v>3840</v>
      </c>
      <c r="AK556" s="7">
        <v>2341</v>
      </c>
      <c r="AL556" s="7">
        <v>52834</v>
      </c>
    </row>
    <row r="557" spans="1:38" ht="12.95" customHeight="1" x14ac:dyDescent="0.2">
      <c r="A557" s="26" t="s">
        <v>35</v>
      </c>
      <c r="B557" s="26"/>
      <c r="C557" s="11"/>
      <c r="D557" s="11"/>
      <c r="E557" s="8">
        <v>81510</v>
      </c>
      <c r="F557" s="8">
        <v>45828</v>
      </c>
      <c r="G557" s="8">
        <v>84360</v>
      </c>
      <c r="H557" s="8">
        <v>141999</v>
      </c>
      <c r="I557" s="8">
        <v>144157</v>
      </c>
      <c r="J557" s="8">
        <v>149830</v>
      </c>
      <c r="K557" s="8">
        <v>150114</v>
      </c>
      <c r="L557" s="8">
        <v>174398</v>
      </c>
      <c r="M557" s="8">
        <v>191905</v>
      </c>
      <c r="N557" s="8">
        <v>168903</v>
      </c>
      <c r="O557" s="8">
        <v>152093</v>
      </c>
      <c r="P557" s="8">
        <v>120538</v>
      </c>
      <c r="Q557" s="8">
        <v>149440</v>
      </c>
      <c r="R557" s="8">
        <v>146891</v>
      </c>
      <c r="S557" s="8">
        <v>148187</v>
      </c>
      <c r="T557" s="8">
        <v>161394</v>
      </c>
      <c r="U557" s="8">
        <v>154000</v>
      </c>
      <c r="V557" s="8">
        <v>167016</v>
      </c>
      <c r="W557" s="8">
        <v>165921</v>
      </c>
      <c r="X557" s="8">
        <v>158592</v>
      </c>
      <c r="Y557" s="8">
        <v>150771</v>
      </c>
      <c r="Z557" s="8">
        <v>157076</v>
      </c>
      <c r="AA557" s="8">
        <v>168264</v>
      </c>
      <c r="AB557" s="8">
        <v>139400</v>
      </c>
      <c r="AC557" s="8">
        <v>110872</v>
      </c>
      <c r="AD557" s="8">
        <v>122762</v>
      </c>
      <c r="AE557" s="8">
        <v>120964</v>
      </c>
      <c r="AF557" s="8">
        <v>149953</v>
      </c>
      <c r="AG557" s="8">
        <v>157428</v>
      </c>
      <c r="AH557" s="8">
        <v>175581</v>
      </c>
      <c r="AI557" s="8">
        <v>192321</v>
      </c>
      <c r="AJ557" s="8">
        <v>181598</v>
      </c>
      <c r="AK557" s="8">
        <v>135899</v>
      </c>
      <c r="AL557" s="8">
        <v>4819965</v>
      </c>
    </row>
  </sheetData>
  <autoFilter ref="A1:D557" xr:uid="{00000000-0001-0000-0000-000000000000}"/>
  <mergeCells count="3">
    <mergeCell ref="A1:A2"/>
    <mergeCell ref="B1:B2"/>
    <mergeCell ref="A557:B557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5B99-835F-4727-A0AF-7549BCE7F632}">
  <dimension ref="A1:O35"/>
  <sheetViews>
    <sheetView workbookViewId="0">
      <selection activeCell="E31" sqref="E31:E32"/>
    </sheetView>
  </sheetViews>
  <sheetFormatPr defaultRowHeight="11.25" x14ac:dyDescent="0.2"/>
  <cols>
    <col min="1" max="1" width="14.1640625" customWidth="1"/>
    <col min="2" max="2" width="18.33203125" customWidth="1"/>
    <col min="3" max="3" width="24.33203125" customWidth="1"/>
    <col min="4" max="4" width="17.6640625" customWidth="1"/>
    <col min="5" max="5" width="16.6640625" customWidth="1"/>
    <col min="6" max="6" width="22.1640625" customWidth="1"/>
    <col min="7" max="7" width="14.6640625" customWidth="1"/>
    <col min="8" max="8" width="21.5" customWidth="1"/>
    <col min="9" max="9" width="15" customWidth="1"/>
    <col min="10" max="10" width="15.5" customWidth="1"/>
    <col min="11" max="11" width="16.6640625" customWidth="1"/>
    <col min="12" max="12" width="14.6640625" customWidth="1"/>
    <col min="13" max="13" width="19.5" customWidth="1"/>
    <col min="14" max="14" width="21.83203125" customWidth="1"/>
    <col min="15" max="15" width="44.83203125" customWidth="1"/>
  </cols>
  <sheetData>
    <row r="1" spans="1:15" ht="12.75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2.75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12.75" x14ac:dyDescent="0.2">
      <c r="A3" s="12" t="s">
        <v>1145</v>
      </c>
      <c r="B3" s="13" t="s">
        <v>1146</v>
      </c>
      <c r="C3" s="13" t="s">
        <v>1147</v>
      </c>
      <c r="D3" s="13" t="s">
        <v>1148</v>
      </c>
      <c r="E3" s="13" t="s">
        <v>1149</v>
      </c>
      <c r="F3" s="13" t="s">
        <v>1150</v>
      </c>
      <c r="G3" s="13" t="s">
        <v>1151</v>
      </c>
      <c r="H3" s="13" t="s">
        <v>1152</v>
      </c>
      <c r="I3" s="13" t="s">
        <v>1153</v>
      </c>
      <c r="J3" s="13" t="s">
        <v>1154</v>
      </c>
      <c r="K3" s="13" t="s">
        <v>1155</v>
      </c>
      <c r="L3" s="13" t="s">
        <v>1156</v>
      </c>
      <c r="M3" s="13" t="s">
        <v>1157</v>
      </c>
      <c r="N3" s="13" t="s">
        <v>1158</v>
      </c>
      <c r="O3" s="12"/>
    </row>
    <row r="4" spans="1:15" ht="12.75" x14ac:dyDescent="0.2">
      <c r="A4" s="12">
        <v>2024</v>
      </c>
      <c r="B4" s="14">
        <v>24596427</v>
      </c>
      <c r="C4" s="14">
        <v>22395512</v>
      </c>
      <c r="D4" s="14">
        <v>44147660</v>
      </c>
      <c r="E4" s="14">
        <v>62276496.32</v>
      </c>
      <c r="F4" s="14">
        <v>73462110</v>
      </c>
      <c r="G4" s="14">
        <v>68345412</v>
      </c>
      <c r="H4" s="14">
        <v>71289315.980000004</v>
      </c>
      <c r="I4" s="14">
        <v>91399515.640000001</v>
      </c>
      <c r="J4" s="14">
        <v>99082123</v>
      </c>
      <c r="K4" s="14">
        <v>88432469</v>
      </c>
      <c r="L4" s="14">
        <v>82883679</v>
      </c>
      <c r="M4" s="14">
        <v>65881945</v>
      </c>
      <c r="N4" s="12">
        <f>SUM(B4:M4)</f>
        <v>794192664.94000006</v>
      </c>
      <c r="O4" s="12"/>
    </row>
    <row r="5" spans="1:15" ht="12.75" x14ac:dyDescent="0.2">
      <c r="A5" s="12">
        <v>2025</v>
      </c>
      <c r="B5" s="14">
        <v>60612221</v>
      </c>
      <c r="C5" s="14">
        <v>70526214</v>
      </c>
      <c r="D5" s="14">
        <v>62394638.899999999</v>
      </c>
      <c r="E5" s="14">
        <v>80289436.030000001</v>
      </c>
      <c r="F5" s="14">
        <v>77227054</v>
      </c>
      <c r="G5" s="14">
        <v>80386586</v>
      </c>
      <c r="H5" s="14">
        <v>79580845.349999994</v>
      </c>
      <c r="I5" s="14">
        <v>85147826.950000003</v>
      </c>
      <c r="J5" s="14">
        <v>75393744</v>
      </c>
      <c r="K5" s="14">
        <v>70827551</v>
      </c>
      <c r="L5" s="14">
        <v>72949510</v>
      </c>
      <c r="M5" s="14">
        <v>71608529.439999998</v>
      </c>
      <c r="N5" s="12">
        <f>SUM(B5:M5)</f>
        <v>886944156.67000008</v>
      </c>
      <c r="O5" s="12"/>
    </row>
    <row r="6" spans="1:15" ht="12.75" x14ac:dyDescent="0.2">
      <c r="A6" s="12">
        <v>2026</v>
      </c>
      <c r="B6" s="14">
        <v>51463402</v>
      </c>
      <c r="C6" s="14">
        <v>57127585</v>
      </c>
      <c r="D6" s="14">
        <v>49906664.43</v>
      </c>
      <c r="E6" s="14">
        <v>61255146</v>
      </c>
      <c r="F6" s="14">
        <v>59215517</v>
      </c>
      <c r="G6" s="14">
        <v>68110627</v>
      </c>
      <c r="H6" s="14">
        <v>72110849.170000002</v>
      </c>
      <c r="I6" s="14">
        <v>70105174.180000007</v>
      </c>
      <c r="J6" s="14">
        <v>45371784.460000001</v>
      </c>
      <c r="K6" s="12"/>
      <c r="L6" s="12"/>
      <c r="M6" s="12"/>
      <c r="N6" s="12">
        <f>SUM(B6:M6)</f>
        <v>534666749.24000001</v>
      </c>
      <c r="O6" s="12"/>
    </row>
    <row r="7" spans="1:15" ht="12.75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ht="12.75" x14ac:dyDescent="0.2">
      <c r="A8" s="12"/>
      <c r="B8" s="13" t="s">
        <v>1159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5" ht="12.75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12.75" x14ac:dyDescent="0.2">
      <c r="A10" s="12"/>
      <c r="B10" s="15" t="s">
        <v>1160</v>
      </c>
      <c r="C10" s="15" t="s">
        <v>1161</v>
      </c>
      <c r="D10" s="15" t="s">
        <v>1162</v>
      </c>
      <c r="E10" s="15" t="s">
        <v>1163</v>
      </c>
      <c r="F10" s="15" t="s">
        <v>1164</v>
      </c>
      <c r="G10" s="15" t="s">
        <v>1165</v>
      </c>
      <c r="H10" s="15" t="s">
        <v>1166</v>
      </c>
      <c r="I10" s="15" t="s">
        <v>1167</v>
      </c>
      <c r="J10" s="15" t="s">
        <v>1168</v>
      </c>
      <c r="K10" s="15" t="s">
        <v>1169</v>
      </c>
      <c r="L10" s="12"/>
      <c r="M10" s="15" t="s">
        <v>1170</v>
      </c>
      <c r="N10" s="15" t="s">
        <v>1171</v>
      </c>
      <c r="O10" s="15" t="s">
        <v>1172</v>
      </c>
    </row>
    <row r="11" spans="1:15" ht="12.75" x14ac:dyDescent="0.2">
      <c r="A11" s="12"/>
      <c r="B11" s="12" t="str" cm="1">
        <f t="array" ref="B11">INDEX($B$3:$M$3,ROW()-10)</f>
        <v>янв</v>
      </c>
      <c r="C11" s="16" cm="1">
        <f t="array" ref="C11">INDEX($B$4:$M$4,ROW()-10)</f>
        <v>24596427</v>
      </c>
      <c r="D11" s="17">
        <f>IFERROR(C11/$N$11,"")</f>
        <v>0.37164423323186774</v>
      </c>
      <c r="E11" s="18">
        <f>IFERROR(C11/$O$11,"")</f>
        <v>3.0970352769322314E-2</v>
      </c>
      <c r="F11" s="16" cm="1">
        <f t="array" ref="F11">INDEX($B$5:$M$5,ROW()-10)</f>
        <v>60612221</v>
      </c>
      <c r="G11" s="17">
        <f>IFERROR(F11/$N$12,"")</f>
        <v>0.82005912833429884</v>
      </c>
      <c r="H11" s="18">
        <f>IFERROR(F11/$O$12,"")</f>
        <v>6.8338260694524894E-2</v>
      </c>
      <c r="I11" s="16" cm="1">
        <f t="array" ref="I11">INDEX($B$6:$M$6,ROW()-10)</f>
        <v>51463402</v>
      </c>
      <c r="J11" s="17">
        <f>IFERROR(I11/$N$13,"")</f>
        <v>0.86627907693600192</v>
      </c>
      <c r="K11" s="18">
        <f>IFERROR(I11/$O$13,"")</f>
        <v>9.6253230770666873E-2</v>
      </c>
      <c r="L11" s="12"/>
      <c r="M11" s="19">
        <f>$A$4</f>
        <v>2024</v>
      </c>
      <c r="N11" s="20">
        <f>IFERROR(AVERAGE($B$4:$M$4),"")</f>
        <v>66182722.078333341</v>
      </c>
      <c r="O11" s="16">
        <f>$N$4</f>
        <v>794192664.94000006</v>
      </c>
    </row>
    <row r="12" spans="1:15" ht="12.75" x14ac:dyDescent="0.2">
      <c r="A12" s="12"/>
      <c r="B12" s="12" t="str" cm="1">
        <f t="array" ref="B12">INDEX($B$3:$M$3,ROW()-10)</f>
        <v>фев</v>
      </c>
      <c r="C12" s="16" cm="1">
        <f t="array" ref="C12">INDEX($B$4:$M$4,ROW()-10)</f>
        <v>22395512</v>
      </c>
      <c r="D12" s="17">
        <f t="shared" ref="D12:D22" si="0">IFERROR(C12/$N$11,"")</f>
        <v>0.33838910363180363</v>
      </c>
      <c r="E12" s="18">
        <f t="shared" ref="E12:E22" si="1">IFERROR(C12/$O$11,"")</f>
        <v>2.8199091969316973E-2</v>
      </c>
      <c r="F12" s="16" cm="1">
        <f t="array" ref="F12">INDEX($B$5:$M$5,ROW()-10)</f>
        <v>70526214</v>
      </c>
      <c r="G12" s="17">
        <f t="shared" ref="G12:G22" si="2">IFERROR(F12/$N$12,"")</f>
        <v>0.9541914918042389</v>
      </c>
      <c r="H12" s="18">
        <f t="shared" ref="H12:H22" si="3">IFERROR(F12/$O$12,"")</f>
        <v>7.9515957650353242E-2</v>
      </c>
      <c r="I12" s="16" cm="1">
        <f t="array" ref="I12">INDEX($B$6:$M$6,ROW()-10)</f>
        <v>57127585</v>
      </c>
      <c r="J12" s="17">
        <f t="shared" ref="J12:J22" si="4">IFERROR(I12/$N$13,"")</f>
        <v>0.96162378852029617</v>
      </c>
      <c r="K12" s="18">
        <f t="shared" ref="K12:K22" si="5">IFERROR(I12/$O$13,"")</f>
        <v>0.10684708761336624</v>
      </c>
      <c r="L12" s="12"/>
      <c r="M12" s="19">
        <f>$A$5</f>
        <v>2025</v>
      </c>
      <c r="N12" s="20">
        <f>IFERROR(AVERAGE($B$5:$M$5),"")</f>
        <v>73912013.05583334</v>
      </c>
      <c r="O12" s="16">
        <f>$N$5</f>
        <v>886944156.67000008</v>
      </c>
    </row>
    <row r="13" spans="1:15" ht="12.75" x14ac:dyDescent="0.2">
      <c r="A13" s="12"/>
      <c r="B13" s="12" t="str" cm="1">
        <f t="array" ref="B13">INDEX($B$3:$M$3,ROW()-10)</f>
        <v>мар</v>
      </c>
      <c r="C13" s="16" cm="1">
        <f t="array" ref="C13">INDEX($B$4:$M$4,ROW()-10)</f>
        <v>44147660</v>
      </c>
      <c r="D13" s="17">
        <f t="shared" si="0"/>
        <v>0.66705718069056119</v>
      </c>
      <c r="E13" s="18">
        <f t="shared" si="1"/>
        <v>5.5588098390880109E-2</v>
      </c>
      <c r="F13" s="16" cm="1">
        <f t="array" ref="F13">INDEX($B$5:$M$5,ROW()-10)</f>
        <v>62394638.899999999</v>
      </c>
      <c r="G13" s="17">
        <f t="shared" si="2"/>
        <v>0.84417453023322364</v>
      </c>
      <c r="H13" s="18">
        <f t="shared" si="3"/>
        <v>7.0347877519435303E-2</v>
      </c>
      <c r="I13" s="16" cm="1">
        <f t="array" ref="I13">INDEX($B$6:$M$6,ROW()-10)</f>
        <v>49906664.43</v>
      </c>
      <c r="J13" s="17">
        <f t="shared" si="4"/>
        <v>0.84007464557774858</v>
      </c>
      <c r="K13" s="18">
        <f t="shared" si="5"/>
        <v>9.3341627286416512E-2</v>
      </c>
      <c r="L13" s="12"/>
      <c r="M13" s="19">
        <f>$A$6</f>
        <v>2026</v>
      </c>
      <c r="N13" s="20">
        <f>IFERROR(AVERAGE($B$6:$M$6),"")</f>
        <v>59407416.582222223</v>
      </c>
      <c r="O13" s="16">
        <f>$N$6</f>
        <v>534666749.24000001</v>
      </c>
    </row>
    <row r="14" spans="1:15" ht="12.75" x14ac:dyDescent="0.2">
      <c r="A14" s="12"/>
      <c r="B14" s="12" t="str" cm="1">
        <f t="array" ref="B14">INDEX($B$3:$M$3,ROW()-10)</f>
        <v>апр</v>
      </c>
      <c r="C14" s="16" cm="1">
        <f t="array" ref="C14">INDEX($B$4:$M$4,ROW()-10)</f>
        <v>62276496.32</v>
      </c>
      <c r="D14" s="17">
        <f t="shared" si="0"/>
        <v>0.94097816415423408</v>
      </c>
      <c r="E14" s="18">
        <f t="shared" si="1"/>
        <v>7.841484701285284E-2</v>
      </c>
      <c r="F14" s="16" cm="1">
        <f t="array" ref="F14">INDEX($B$5:$M$5,ROW()-10)</f>
        <v>80289436.030000001</v>
      </c>
      <c r="G14" s="17">
        <f t="shared" si="2"/>
        <v>1.0862839843010248</v>
      </c>
      <c r="H14" s="18">
        <f t="shared" si="3"/>
        <v>9.0523665358418728E-2</v>
      </c>
      <c r="I14" s="16" cm="1">
        <f t="array" ref="I14">INDEX($B$6:$M$6,ROW()-10)</f>
        <v>61255146</v>
      </c>
      <c r="J14" s="17">
        <f t="shared" si="4"/>
        <v>1.0311026724284575</v>
      </c>
      <c r="K14" s="18">
        <f t="shared" si="5"/>
        <v>0.11456696360316196</v>
      </c>
      <c r="L14" s="12"/>
      <c r="M14" s="12"/>
      <c r="N14" s="12"/>
      <c r="O14" s="12"/>
    </row>
    <row r="15" spans="1:15" ht="12.75" x14ac:dyDescent="0.2">
      <c r="A15" s="12"/>
      <c r="B15" s="12" t="str" cm="1">
        <f t="array" ref="B15">INDEX($B$3:$M$3,ROW()-10)</f>
        <v>май</v>
      </c>
      <c r="C15" s="16" cm="1">
        <f t="array" ref="C15">INDEX($B$4:$M$4,ROW()-10)</f>
        <v>73462110</v>
      </c>
      <c r="D15" s="17">
        <f t="shared" si="0"/>
        <v>1.1099892493550028</v>
      </c>
      <c r="E15" s="18">
        <f t="shared" si="1"/>
        <v>9.2499104112916911E-2</v>
      </c>
      <c r="F15" s="16" cm="1">
        <f t="array" ref="F15">INDEX($B$5:$M$5,ROW()-10)</f>
        <v>77227054</v>
      </c>
      <c r="G15" s="17">
        <f t="shared" si="2"/>
        <v>1.0448511792211974</v>
      </c>
      <c r="H15" s="18">
        <f t="shared" si="3"/>
        <v>8.7070931601766446E-2</v>
      </c>
      <c r="I15" s="16" cm="1">
        <f t="array" ref="I15">INDEX($B$6:$M$6,ROW()-10)</f>
        <v>59215517</v>
      </c>
      <c r="J15" s="17">
        <f t="shared" si="4"/>
        <v>0.99676977062356131</v>
      </c>
      <c r="K15" s="18">
        <f t="shared" si="5"/>
        <v>0.11075219673595126</v>
      </c>
      <c r="L15" s="12"/>
      <c r="M15" s="12"/>
      <c r="N15" s="12"/>
      <c r="O15" s="12"/>
    </row>
    <row r="16" spans="1:15" ht="12.75" x14ac:dyDescent="0.2">
      <c r="A16" s="12"/>
      <c r="B16" s="12" t="str" cm="1">
        <f t="array" ref="B16">INDEX($B$3:$M$3,ROW()-10)</f>
        <v>июн</v>
      </c>
      <c r="C16" s="16" cm="1">
        <f t="array" ref="C16">INDEX($B$4:$M$4,ROW()-10)</f>
        <v>68345412</v>
      </c>
      <c r="D16" s="17">
        <f t="shared" si="0"/>
        <v>1.0326775607553118</v>
      </c>
      <c r="E16" s="18">
        <f t="shared" si="1"/>
        <v>8.6056463396275998E-2</v>
      </c>
      <c r="F16" s="16" cm="1">
        <f t="array" ref="F16">INDEX($B$5:$M$5,ROW()-10)</f>
        <v>80386586</v>
      </c>
      <c r="G16" s="17">
        <f t="shared" si="2"/>
        <v>1.08759838457215</v>
      </c>
      <c r="H16" s="18">
        <f t="shared" si="3"/>
        <v>9.0633198714345831E-2</v>
      </c>
      <c r="I16" s="16" cm="1">
        <f t="array" ref="I16">INDEX($B$6:$M$6,ROW()-10)</f>
        <v>68110627</v>
      </c>
      <c r="J16" s="17">
        <f t="shared" si="4"/>
        <v>1.1465004021127931</v>
      </c>
      <c r="K16" s="18">
        <f t="shared" si="5"/>
        <v>0.12738893356808814</v>
      </c>
      <c r="L16" s="12"/>
      <c r="M16" s="12"/>
      <c r="N16" s="12"/>
      <c r="O16" s="12"/>
    </row>
    <row r="17" spans="1:15" ht="12.75" x14ac:dyDescent="0.2">
      <c r="A17" s="12"/>
      <c r="B17" s="12" t="str" cm="1">
        <f t="array" ref="B17">INDEX($B$3:$M$3,ROW()-10)</f>
        <v>июл</v>
      </c>
      <c r="C17" s="16" cm="1">
        <f t="array" ref="C17">INDEX($B$4:$M$4,ROW()-10)</f>
        <v>71289315.980000004</v>
      </c>
      <c r="D17" s="17">
        <f t="shared" si="0"/>
        <v>1.0771590188693438</v>
      </c>
      <c r="E17" s="18">
        <f t="shared" si="1"/>
        <v>8.9763251572445329E-2</v>
      </c>
      <c r="F17" s="16" cm="1">
        <f t="array" ref="F17">INDEX($B$5:$M$5,ROW()-10)</f>
        <v>79580845.349999994</v>
      </c>
      <c r="G17" s="17">
        <f t="shared" si="2"/>
        <v>1.0766970355669301</v>
      </c>
      <c r="H17" s="18">
        <f t="shared" si="3"/>
        <v>8.9724752963910845E-2</v>
      </c>
      <c r="I17" s="16" cm="1">
        <f t="array" ref="I17">INDEX($B$6:$M$6,ROW()-10)</f>
        <v>72110849.170000002</v>
      </c>
      <c r="J17" s="17">
        <f t="shared" si="4"/>
        <v>1.2138358023058573</v>
      </c>
      <c r="K17" s="18">
        <f t="shared" si="5"/>
        <v>0.1348706447006508</v>
      </c>
      <c r="L17" s="12"/>
      <c r="M17" s="12"/>
      <c r="N17" s="12"/>
      <c r="O17" s="12"/>
    </row>
    <row r="18" spans="1:15" ht="12.75" x14ac:dyDescent="0.2">
      <c r="A18" s="12"/>
      <c r="B18" s="12" t="str" cm="1">
        <f t="array" ref="B18">INDEX($B$3:$M$3,ROW()-10)</f>
        <v>авг</v>
      </c>
      <c r="C18" s="16" cm="1">
        <f t="array" ref="C18">INDEX($B$4:$M$4,ROW()-10)</f>
        <v>91399515.640000001</v>
      </c>
      <c r="D18" s="17">
        <f t="shared" si="0"/>
        <v>1.3810177757847473</v>
      </c>
      <c r="E18" s="18">
        <f t="shared" si="1"/>
        <v>0.11508481464872895</v>
      </c>
      <c r="F18" s="16" cm="1">
        <f t="array" ref="F18">INDEX($B$5:$M$5,ROW()-10)</f>
        <v>85147826.950000003</v>
      </c>
      <c r="G18" s="17">
        <f t="shared" si="2"/>
        <v>1.1520160719432591</v>
      </c>
      <c r="H18" s="18">
        <f t="shared" si="3"/>
        <v>9.6001339328604926E-2</v>
      </c>
      <c r="I18" s="16" cm="1">
        <f t="array" ref="I18">INDEX($B$6:$M$6,ROW()-10)</f>
        <v>70105174.180000007</v>
      </c>
      <c r="J18" s="17">
        <f t="shared" si="4"/>
        <v>1.1800744454688021</v>
      </c>
      <c r="K18" s="18">
        <f t="shared" si="5"/>
        <v>0.1311193828298669</v>
      </c>
      <c r="L18" s="12"/>
      <c r="M18" s="12"/>
      <c r="N18" s="12"/>
      <c r="O18" s="12"/>
    </row>
    <row r="19" spans="1:15" ht="12.75" x14ac:dyDescent="0.2">
      <c r="A19" s="12"/>
      <c r="B19" s="12" t="str" cm="1">
        <f t="array" ref="B19">INDEX($B$3:$M$3,ROW()-10)</f>
        <v>сен</v>
      </c>
      <c r="C19" s="16" cm="1">
        <f t="array" ref="C19">INDEX($B$4:$M$4,ROW()-10)</f>
        <v>99082123</v>
      </c>
      <c r="D19" s="17">
        <f t="shared" si="0"/>
        <v>1.4970995433328838</v>
      </c>
      <c r="E19" s="18">
        <f t="shared" si="1"/>
        <v>0.12475829527774031</v>
      </c>
      <c r="F19" s="16" cm="1">
        <f t="array" ref="F19">INDEX($B$5:$M$5,ROW()-10)</f>
        <v>75393744</v>
      </c>
      <c r="G19" s="17">
        <f t="shared" si="2"/>
        <v>1.0200472275467232</v>
      </c>
      <c r="H19" s="18">
        <f t="shared" si="3"/>
        <v>8.5003935628893593E-2</v>
      </c>
      <c r="I19" s="16" cm="1">
        <f t="array" ref="I19">INDEX($B$6:$M$6,ROW()-10)</f>
        <v>45371784.460000001</v>
      </c>
      <c r="J19" s="17">
        <f t="shared" si="4"/>
        <v>0.76373939602648178</v>
      </c>
      <c r="K19" s="18">
        <f t="shared" si="5"/>
        <v>8.4859932891831316E-2</v>
      </c>
      <c r="L19" s="12"/>
      <c r="M19" s="12"/>
      <c r="N19" s="12"/>
      <c r="O19" s="12"/>
    </row>
    <row r="20" spans="1:15" ht="12.75" x14ac:dyDescent="0.2">
      <c r="A20" s="12"/>
      <c r="B20" s="12" t="str" cm="1">
        <f t="array" ref="B20">INDEX($B$3:$M$3,ROW()-10)</f>
        <v>окт</v>
      </c>
      <c r="C20" s="16" cm="1">
        <f t="array" ref="C20">INDEX($B$4:$M$4,ROW()-10)</f>
        <v>88432469</v>
      </c>
      <c r="D20" s="17">
        <f t="shared" si="0"/>
        <v>1.3361866393970927</v>
      </c>
      <c r="E20" s="18">
        <f t="shared" si="1"/>
        <v>0.11134888661642441</v>
      </c>
      <c r="F20" s="16" cm="1">
        <f t="array" ref="F20">INDEX($B$5:$M$5,ROW()-10)</f>
        <v>70827551</v>
      </c>
      <c r="G20" s="17">
        <f t="shared" si="2"/>
        <v>0.95826846099424556</v>
      </c>
      <c r="H20" s="18">
        <f t="shared" si="3"/>
        <v>7.9855705082853792E-2</v>
      </c>
      <c r="I20" s="16" cm="1">
        <f t="array" ref="I20">INDEX($B$6:$M$6,ROW()-10)</f>
        <v>0</v>
      </c>
      <c r="J20" s="17">
        <f t="shared" si="4"/>
        <v>0</v>
      </c>
      <c r="K20" s="18">
        <f t="shared" si="5"/>
        <v>0</v>
      </c>
      <c r="L20" s="12"/>
      <c r="M20" s="12"/>
      <c r="N20" s="12"/>
      <c r="O20" s="12"/>
    </row>
    <row r="21" spans="1:15" ht="12.75" x14ac:dyDescent="0.2">
      <c r="A21" s="12"/>
      <c r="B21" s="12" t="str" cm="1">
        <f t="array" ref="B21">INDEX($B$3:$M$3,ROW()-10)</f>
        <v>ноя</v>
      </c>
      <c r="C21" s="16" cm="1">
        <f t="array" ref="C21">INDEX($B$4:$M$4,ROW()-10)</f>
        <v>82883679</v>
      </c>
      <c r="D21" s="17">
        <f t="shared" si="0"/>
        <v>1.2523461773285713</v>
      </c>
      <c r="E21" s="18">
        <f t="shared" si="1"/>
        <v>0.10436218144404762</v>
      </c>
      <c r="F21" s="16" cm="1">
        <f t="array" ref="F21">INDEX($B$5:$M$5,ROW()-10)</f>
        <v>72949510</v>
      </c>
      <c r="G21" s="17">
        <f t="shared" si="2"/>
        <v>0.98697771828909242</v>
      </c>
      <c r="H21" s="18">
        <f t="shared" si="3"/>
        <v>8.2248143190757697E-2</v>
      </c>
      <c r="I21" s="16" cm="1">
        <f t="array" ref="I21">INDEX($B$6:$M$6,ROW()-10)</f>
        <v>0</v>
      </c>
      <c r="J21" s="17">
        <f t="shared" si="4"/>
        <v>0</v>
      </c>
      <c r="K21" s="18">
        <f t="shared" si="5"/>
        <v>0</v>
      </c>
      <c r="L21" s="12"/>
      <c r="M21" s="12"/>
      <c r="N21" s="12"/>
      <c r="O21" s="12"/>
    </row>
    <row r="22" spans="1:15" ht="12.75" x14ac:dyDescent="0.2">
      <c r="A22" s="12"/>
      <c r="B22" s="12" t="str" cm="1">
        <f t="array" ref="B22">INDEX($B$3:$M$3,ROW()-10)</f>
        <v>дек</v>
      </c>
      <c r="C22" s="16" cm="1">
        <f t="array" ref="C22">INDEX($B$4:$M$4,ROW()-10)</f>
        <v>65881945</v>
      </c>
      <c r="D22" s="17">
        <f t="shared" si="0"/>
        <v>0.99545535346857839</v>
      </c>
      <c r="E22" s="18">
        <f t="shared" si="1"/>
        <v>8.2954612789048199E-2</v>
      </c>
      <c r="F22" s="16" cm="1">
        <f t="array" ref="F22">INDEX($B$5:$M$5,ROW()-10)</f>
        <v>71608529.439999998</v>
      </c>
      <c r="G22" s="17">
        <f t="shared" si="2"/>
        <v>0.96883478719361515</v>
      </c>
      <c r="H22" s="18">
        <f t="shared" si="3"/>
        <v>8.0736232266134592E-2</v>
      </c>
      <c r="I22" s="16" cm="1">
        <f t="array" ref="I22">INDEX($B$6:$M$6,ROW()-10)</f>
        <v>0</v>
      </c>
      <c r="J22" s="17">
        <f t="shared" si="4"/>
        <v>0</v>
      </c>
      <c r="K22" s="18">
        <f t="shared" si="5"/>
        <v>0</v>
      </c>
      <c r="L22" s="12"/>
      <c r="M22" s="12"/>
      <c r="N22" s="12"/>
      <c r="O22" s="12"/>
    </row>
    <row r="23" spans="1:15" ht="12.75" x14ac:dyDescent="0.2">
      <c r="A23" s="12"/>
      <c r="B23" s="13" t="s">
        <v>35</v>
      </c>
      <c r="C23" s="21">
        <f>SUM(C11:C22)</f>
        <v>794192664.94000006</v>
      </c>
      <c r="D23" s="22">
        <f>AVERAGE(D11:D22)</f>
        <v>1</v>
      </c>
      <c r="E23" s="23">
        <f>SUM(E11:E22)</f>
        <v>1</v>
      </c>
      <c r="F23" s="21">
        <f>SUM(F11:F22)</f>
        <v>886944156.67000008</v>
      </c>
      <c r="G23" s="22">
        <f>IFERROR(AVERAGE(G11:G22),"")</f>
        <v>0.99999999999999967</v>
      </c>
      <c r="H23" s="23">
        <f>SUM(H11:H22)</f>
        <v>0.99999999999999978</v>
      </c>
      <c r="I23" s="21">
        <f>SUM(I11:I22)</f>
        <v>534666749.24000001</v>
      </c>
      <c r="J23" s="22">
        <f>IFERROR(AVERAGE(J11:J22),"")</f>
        <v>0.75</v>
      </c>
      <c r="K23" s="23">
        <f>SUM(K11:K22)</f>
        <v>1</v>
      </c>
      <c r="L23" s="12"/>
      <c r="M23" s="12"/>
      <c r="N23" s="12"/>
      <c r="O23" s="12"/>
    </row>
    <row r="24" spans="1:15" ht="12.75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ht="12.75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15" ht="12.75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15" ht="12.75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ht="12.75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ht="12.75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5" ht="12.75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ht="12.75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ht="12.75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ht="12.75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ht="12.75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ht="12.75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Лист_1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Асем Дуйсембинова</cp:lastModifiedBy>
  <dcterms:modified xsi:type="dcterms:W3CDTF">2026-09-22T11:50:52Z</dcterms:modified>
</cp:coreProperties>
</file>